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Meetings &amp; Events sources" sheetId="2" state="visible" r:id="rId4"/>
    <sheet name="Organisations" sheetId="3" state="visible" r:id="rId5"/>
  </sheets>
  <definedNames>
    <definedName function="false" hidden="true" localSheetId="1" name="_xlnm._FilterDatabase" vbProcedure="false">'Meetings &amp; Events sources'!$A$1:$H$66</definedName>
    <definedName function="false" hidden="true" localSheetId="2" name="_xlnm._FilterDatabase" vbProcedure="false">Organisations!$A$1:$F$474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<sst xmlns="http://schemas.openxmlformats.org/spreadsheetml/2006/main" count="3140" uniqueCount="1340">
  <si>
    <t xml:space="preserve">Brussels decision-making: public sources on meetings &amp; events</t>
  </si>
  <si>
    <t xml:space="preserve">Compiled 28 Oct 2026 for Laura Martínez Temiño. All URLs were tested automatically on 28 Oct 2026 (see the "Check" column).</t>
  </si>
  <si>
    <t xml:space="preserve">What is in this workbook</t>
  </si>
  <si>
    <t xml:space="preserve">• Meeting records: official registers (Commission, Parliament, Council, Member State Perm Reps, ECB/EBA/EIOPA/ESMA/EMA, EESC, CoR, Belgian Chamber) plus civil-society &amp; commercial tools that reuse them.</t>
  </si>
  <si>
    <t xml:space="preserve">• Event calendars: aggregators and institutional calendars.</t>
  </si>
  <si>
    <t xml:space="preserve">• Organisations: event pages of the organisations hosting Brussels policy events, grouped by type. Column "On The Bubble" marks those that The Bubble also tracks.</t>
  </si>
  <si>
    <t xml:space="preserve">Organisation counts</t>
  </si>
  <si>
    <t xml:space="preserve">EU institutions &amp; bodies</t>
  </si>
  <si>
    <t xml:space="preserve">Political groups, parties &amp; foundations</t>
  </si>
  <si>
    <t xml:space="preserve">Think tanks &amp; research</t>
  </si>
  <si>
    <t xml:space="preserve">Business, trade &amp; professional associations</t>
  </si>
  <si>
    <t xml:space="preserve">NGOs, civil society &amp; trade unions</t>
  </si>
  <si>
    <t xml:space="preserve">City/regional networks, regional offices &amp; national reps</t>
  </si>
  <si>
    <t xml:space="preserve">Companies, consultancies &amp; agencies</t>
  </si>
  <si>
    <t xml:space="preserve">Media, event organisers &amp; forums</t>
  </si>
  <si>
    <t xml:space="preserve">Networking communities</t>
  </si>
  <si>
    <t xml:space="preserve">International organisations</t>
  </si>
  <si>
    <t xml:space="preserve">EU-funded projects &amp; programmes</t>
  </si>
  <si>
    <t xml:space="preserve">Total organisations</t>
  </si>
  <si>
    <t xml:space="preserve">…of which also tracked by The Bubble</t>
  </si>
  <si>
    <t xml:space="preserve">…of which NOT tracked by The Bubble (added by this research)</t>
  </si>
  <si>
    <t xml:space="preserve">Meeting-record sources listed</t>
  </si>
  <si>
    <t xml:space="preserve">Event aggregators/calendars listed</t>
  </si>
  <si>
    <t xml:space="preserve">Key findings &amp; caveats</t>
  </si>
  <si>
    <t xml:space="preserve">• Commission: since 1 Jan 2025 all management staff (Commissioners, Cabinets, DGs, Directors, Heads of Unit) may only meet registered lobbyists and their meetings are published.</t>
  </si>
  <si>
    <t xml:space="preserve">• Parliament: since the 2024 Code of Conduct reform every MEP must publish scheduled lobby meetings (30,000+ in year one); informal meetings are not covered and ~half of entries are free text. Per-file view in OEIL.</t>
  </si>
  <si>
    <t xml:space="preserve">• Council: the weakest link. Council meetings with the Secretary-General/DGs are conditional on registration but not published; Member State Perm Reps publish voluntarily (good: HR, FI, IT, PT, RO, SE, NL quarterly lists; none: BG, IE).</t>
  </si>
  <si>
    <t xml:space="preserve">• Best one-stop tools: Integrity Watch EU (daily, Commission + MEP meetings + lobbyists tool launched May 2026) and LobbyFacts.</t>
  </si>
  <si>
    <t xml:space="preserve">• The Bubble: its database held ~905 events from ~270 distinct organiser labels when checked (≈250 organisations after merging duplicates). This list adds 200+ organisations it does not track.</t>
  </si>
  <si>
    <t xml:space="preserve">• "Bot-protected" = site blocks automated checks but opens normally in a browser. "Domain not reachable" = blocked by the test network; check manually.</t>
  </si>
  <si>
    <t xml:space="preserve">• Some organisations only post events on LinkedIn or via Luma/Eventbrite; for those, the homepage is given.</t>
  </si>
  <si>
    <t xml:space="preserve">Area</t>
  </si>
  <si>
    <t xml:space="preserve">Source</t>
  </si>
  <si>
    <t xml:space="preserve">Run by</t>
  </si>
  <si>
    <t xml:space="preserve">What it shows</t>
  </si>
  <si>
    <t xml:space="preserve">Rules / coverage / notes</t>
  </si>
  <si>
    <t xml:space="preserve">Access</t>
  </si>
  <si>
    <t xml:space="preserve">URL</t>
  </si>
  <si>
    <t xml:space="preserve">Check (28 Oct 2026)</t>
  </si>
  <si>
    <t xml:space="preserve">MEETINGS – European Commission</t>
  </si>
  <si>
    <t xml:space="preserve">Transparency on meetings and missions (Commission meeting registers)</t>
  </si>
  <si>
    <t xml:space="preserve">European Commission, Secretariat-General</t>
  </si>
  <si>
    <t xml:space="preserve">Meetings of Commissioners &amp; Cabinet members; meetings held by DG representatives; Executive Agencies</t>
  </si>
  <si>
    <t xml:space="preserve">Since 1 Jan 2025 covers all Commission management staff (Commissioners, Cabinets, DGs, Directors, Heads of Unit; ~1,100 more officials). Only registered interest representatives may be met. Minutes also to be published (Dec 2024 decisions).</t>
  </si>
  <si>
    <t xml:space="preserve">Free</t>
  </si>
  <si>
    <t xml:space="preserve">https://ec.europa.eu/transparencyinitiative/meetings/</t>
  </si>
  <si>
    <t xml:space="preserve">Verified</t>
  </si>
  <si>
    <t xml:space="preserve">Dec 2024 transparency measures (rules)</t>
  </si>
  <si>
    <t xml:space="preserve">EU Transparency Register Secretariat</t>
  </si>
  <si>
    <t xml:space="preserve">Explains extension of conditionality &amp; publication to all management staff</t>
  </si>
  <si>
    <t xml:space="preserve">Adopted 4 Dec 2024, applicable 1 Jan 2025</t>
  </si>
  <si>
    <t xml:space="preserve">https://transparency-register.europa.eu/find-out-more/news/important-commission-adopts-new-transparency-measures-2024-12-12_en</t>
  </si>
  <si>
    <t xml:space="preserve">Individual calendars of the President and Commissioners</t>
  </si>
  <si>
    <t xml:space="preserve">European Commission</t>
  </si>
  <si>
    <t xml:space="preserve">Weekly public agendas (meetings, visits, speeches) of each Commissioner</t>
  </si>
  <si>
    <t xml:space="preserve">Forward-looking diary; complements the meetings register</t>
  </si>
  <si>
    <t xml:space="preserve">https://commission.europa.eu/about/organisation/college-commissioners/individual-calendars-president-and-commissioners_en</t>
  </si>
  <si>
    <t xml:space="preserve">College weekly meetings – agendas &amp; minutes</t>
  </si>
  <si>
    <t xml:space="preserve">Agenda and minutes of the weekly College meeting</t>
  </si>
  <si>
    <t xml:space="preserve">Minutes published after meeting</t>
  </si>
  <si>
    <t xml:space="preserve">https://commission.europa.eu/strategy-and-policy/decision-making-process-commission/decision-making-during-weekly-meetings_en</t>
  </si>
  <si>
    <t xml:space="preserve">Register of Commission expert groups</t>
  </si>
  <si>
    <t xml:space="preserve">Expert groups: members (incl. lobby organisations), agendas, minutes, meeting dates</t>
  </si>
  <si>
    <t xml:space="preserve">Ongoing</t>
  </si>
  <si>
    <t xml:space="preserve">https://ec.europa.eu/transparency/expert-groups-register/</t>
  </si>
  <si>
    <t xml:space="preserve">Comitology Register</t>
  </si>
  <si>
    <t xml:space="preserve">Comitology committee meetings: agendas, draft acts, summary records, voting results</t>
  </si>
  <si>
    <t xml:space="preserve">https://ec.europa.eu/transparency/comitology-register/</t>
  </si>
  <si>
    <t xml:space="preserve">Register of Commission documents</t>
  </si>
  <si>
    <t xml:space="preserve">Search Commission documents (incl. meeting-related)</t>
  </si>
  <si>
    <t xml:space="preserve">Use with access-to-documents requests</t>
  </si>
  <si>
    <t xml:space="preserve">https://ec.europa.eu/transparency/documents-register/</t>
  </si>
  <si>
    <t xml:space="preserve">Have Your Say</t>
  </si>
  <si>
    <t xml:space="preserve">Consultations, calls for evidence and every stakeholder submission per initiative</t>
  </si>
  <si>
    <t xml:space="preserve">Shows who is trying to influence each file</t>
  </si>
  <si>
    <t xml:space="preserve">https://ec.europa.eu/info/law/better-regulation/have-your-say_en</t>
  </si>
  <si>
    <t xml:space="preserve">Executive agencies’ transparency pages (e.g. EISMEA, EACEA)</t>
  </si>
  <si>
    <t xml:space="preserve">Commission executive agencies</t>
  </si>
  <si>
    <t xml:space="preserve">Agency-level meeting/transparency info</t>
  </si>
  <si>
    <t xml:space="preserve">Varies by agency</t>
  </si>
  <si>
    <t xml:space="preserve">https://eismea.ec.europa.eu/eismea-transparency-register_en</t>
  </si>
  <si>
    <t xml:space="preserve">Bot-protected (opens in browser)</t>
  </si>
  <si>
    <t xml:space="preserve">MEETINGS – Cross-institutional</t>
  </si>
  <si>
    <t xml:space="preserve">EU Transparency Register – search</t>
  </si>
  <si>
    <t xml:space="preserve">EP, Council, Commission (joint)</t>
  </si>
  <si>
    <t xml:space="preserve">Who lobbies: ~17,000+ registrants, budgets, staff, EP badges, fields of interest, meetings links</t>
  </si>
  <si>
    <t xml:space="preserve">Mandatory register under 2021 Interinstitutional Agreement</t>
  </si>
  <si>
    <t xml:space="preserve">https://transparency-register.europa.eu/searchregister-or-update/search-register_en</t>
  </si>
  <si>
    <t xml:space="preserve">Conditionality rules – contacts with EU institutions</t>
  </si>
  <si>
    <t xml:space="preserve">Transparency Register Secretariat</t>
  </si>
  <si>
    <t xml:space="preserve">Which meetings require prior registration, institution by institution</t>
  </si>
  <si>
    <t xml:space="preserve">Reference</t>
  </si>
  <si>
    <t xml:space="preserve">https://transparency-register.europa.eu/conditions-contacts-eu-institutions_en</t>
  </si>
  <si>
    <t xml:space="preserve">Transparency Register open data</t>
  </si>
  <si>
    <t xml:space="preserve">data.europa.eu</t>
  </si>
  <si>
    <t xml:space="preserve">Bulk download of the register</t>
  </si>
  <si>
    <t xml:space="preserve">Machine-readable</t>
  </si>
  <si>
    <t xml:space="preserve">https://data.europa.eu/data/datasets/transparency-register</t>
  </si>
  <si>
    <t xml:space="preserve">MEETINGS – European Parliament</t>
  </si>
  <si>
    <t xml:space="preserve">MEP profiles – "Meetings" section</t>
  </si>
  <si>
    <t xml:space="preserve">European Parliament</t>
  </si>
  <si>
    <t xml:space="preserve">Declared meetings of each MEP (date, organisation, file)</t>
  </si>
  <si>
    <t xml:space="preserve">Since the 2024 Code of Conduct reform ALL MEPs (and assistants) must publish scheduled lobby meetings, not only rapporteurs/shadows/chairs; informal meetings not covered. 30,000+ meetings in first year.</t>
  </si>
  <si>
    <t xml:space="preserve">https://www.europarl.europa.eu/meps/en/home</t>
  </si>
  <si>
    <t xml:space="preserve">Legislative Observatory (OEIL) – per-dossier meetings</t>
  </si>
  <si>
    <t xml:space="preserve">"Meetings with interest representatives published in line with the Rules of Procedure" on each procedure page (rapporteurs, shadows, regular members)</t>
  </si>
  <si>
    <t xml:space="preserve">Best way to see lobbying per legislative file</t>
  </si>
  <si>
    <t xml:space="preserve">https://oeil.europarl.europa.eu/oeil/en</t>
  </si>
  <si>
    <t xml:space="preserve">Verified (section confirmed on a dossier page)</t>
  </si>
  <si>
    <t xml:space="preserve">Intergroups – list &amp; declarations</t>
  </si>
  <si>
    <t xml:space="preserve">Official intergroups, members and declared outside support (secretariats often run by NGOs/industry)</t>
  </si>
  <si>
    <t xml:space="preserve">Updated per term</t>
  </si>
  <si>
    <t xml:space="preserve">https://www.europarl.europa.eu/meps/en/about/groupings</t>
  </si>
  <si>
    <t xml:space="preserve">Committee meeting agendas (eMeeting)</t>
  </si>
  <si>
    <t xml:space="preserve">Committee agendas, hearings, documents</t>
  </si>
  <si>
    <t xml:space="preserve">Live</t>
  </si>
  <si>
    <t xml:space="preserve">https://emeeting.europarl.europa.eu/emeeting/committee/en/agenda</t>
  </si>
  <si>
    <t xml:space="preserve">Plenary home / agendas</t>
  </si>
  <si>
    <t xml:space="preserve">Plenary agendas, votes, debates</t>
  </si>
  <si>
    <t xml:space="preserve">https://www.europarl.europa.eu/plenary/en/home.html</t>
  </si>
  <si>
    <t xml:space="preserve">Legislative Train Schedule</t>
  </si>
  <si>
    <t xml:space="preserve">European Parliament (EPRS)</t>
  </si>
  <si>
    <t xml:space="preserve">Status of every legislative file</t>
  </si>
  <si>
    <t xml:space="preserve">Context for who to watch</t>
  </si>
  <si>
    <t xml:space="preserve">https://www.europarl.europa.eu/legislative-train/</t>
  </si>
  <si>
    <t xml:space="preserve">MEETINGS – Council</t>
  </si>
  <si>
    <t xml:space="preserve">Council meeting calendar &amp; agendas</t>
  </si>
  <si>
    <t xml:space="preserve">Council of the EU / European Council</t>
  </si>
  <si>
    <t xml:space="preserve">All Council configurations, European Council, Eurogroup; agendas, public sessions (livestream), outcomes</t>
  </si>
  <si>
    <t xml:space="preserve">Council Decision (EU) 2021/929 makes meetings of the Secretary-General &amp; Directors-General conditional on registration, but does not itself require publishing them</t>
  </si>
  <si>
    <t xml:space="preserve">https://www.consilium.europa.eu/en/meetings/calendar/</t>
  </si>
  <si>
    <t xml:space="preserve">Council public register of documents</t>
  </si>
  <si>
    <t xml:space="preserve">Council of the EU</t>
  </si>
  <si>
    <t xml:space="preserve">Working-party agendas, Coreper documents, outcomes</t>
  </si>
  <si>
    <t xml:space="preserve">Many documents released only on request</t>
  </si>
  <si>
    <t xml:space="preserve">https://www.consilium.europa.eu/en/documents-publications/public-register/</t>
  </si>
  <si>
    <t xml:space="preserve">Irish Presidency (Jul–Dec 2026) website</t>
  </si>
  <si>
    <t xml:space="preserve">Irish Presidency</t>
  </si>
  <si>
    <t xml:space="preserve">Presidency calendar &amp; events (informal ministerials, EPC summit Dublin 12–13 Nov 2026)</t>
  </si>
  <si>
    <t xml:space="preserve">Ireland’s Perm Rep publishes no meetings list (CSE, Apr 2025)</t>
  </si>
  <si>
    <t xml:space="preserve">https://irish-presidency.consilium.europa.eu/en/</t>
  </si>
  <si>
    <t xml:space="preserve">MEETINGS – Member States</t>
  </si>
  <si>
    <t xml:space="preserve">Netherlands Perm Rep – transparency lists 2026</t>
  </si>
  <si>
    <t xml:space="preserve">NL Permanent Representation</t>
  </si>
  <si>
    <t xml:space="preserve">Quarterly lists of meetings &amp; events: stakeholder names, date, topic, department</t>
  </si>
  <si>
    <t xml:space="preserve">Q1–Q2 2026 published</t>
  </si>
  <si>
    <t xml:space="preserve">https://www.netherlandsandyou.nl/web/pr-eu-brussels/transparency-lists-2026</t>
  </si>
  <si>
    <t xml:space="preserve">Denmark Perm Rep – transparency (PR &amp; Deputy PR)</t>
  </si>
  <si>
    <t xml:space="preserve">DK Permanent Representation</t>
  </si>
  <si>
    <t xml:space="preserve">Meetings of the Ambassador/Deputy with interest representatives</t>
  </si>
  <si>
    <t xml:space="preserve">CSE notes outdated in 2025</t>
  </si>
  <si>
    <t xml:space="preserve">https://um.dk/eu/en/about-us/representatives/permanent-representative/transparency/</t>
  </si>
  <si>
    <t xml:space="preserve">Slovenia Perm Rep – transparency register</t>
  </si>
  <si>
    <t xml:space="preserve">SI Permanent Representation</t>
  </si>
  <si>
    <t xml:space="preserve">Ambassador meetings list</t>
  </si>
  <si>
    <t xml:space="preserve">https://gov.si/en/representations/permanent-representation-to-the-european-union-brussels/about-the-permanent-representation-to-the-european-union-brussels/transparency-register</t>
  </si>
  <si>
    <t xml:space="preserve">URL from search result</t>
  </si>
  <si>
    <t xml:space="preserve">Civil Society Europe – Perm Rep transparency analysis (Apr 2025)</t>
  </si>
  <si>
    <t xml:space="preserve">Civil Society Europe</t>
  </si>
  <si>
    <t xml:space="preserve">Country-by-country check of which of the 27 Perm Reps publish meetings lists</t>
  </si>
  <si>
    <t xml:space="preserve">Full &amp; up to date: HR, FI, IT, PT, RO, SE. None: BG, IE. Contacts only: CY, EE, LV, LT, LU. Only 10/27 updated within 6 months.</t>
  </si>
  <si>
    <t xml:space="preserve">https://civilsocietyeurope.eu/wp-content/uploads/2025/04/CSE-analysis-on-the-transparency-of-the-Perm-Reps-to-the-EU.docx.pdf</t>
  </si>
  <si>
    <t xml:space="preserve">Verified (PDF)</t>
  </si>
  <si>
    <t xml:space="preserve">MEETINGS – Other EU bodies</t>
  </si>
  <si>
    <t xml:space="preserve">ECB – Board members’ diaries</t>
  </si>
  <si>
    <t xml:space="preserve">European Central Bank</t>
  </si>
  <si>
    <t xml:space="preserve">Calendars of Executive Board members (incl. Supervisory Board chair/vice-chair)</t>
  </si>
  <si>
    <t xml:space="preserve">Since 2015</t>
  </si>
  <si>
    <t xml:space="preserve">https://www.ecb.europa.eu/ecb/access_to_documents/document/calendars/html/index.en.html</t>
  </si>
  <si>
    <t xml:space="preserve">EBA – public meetings registers</t>
  </si>
  <si>
    <t xml:space="preserve">European Banking Authority</t>
  </si>
  <si>
    <t xml:space="preserve">Meetings of Chair/Executive Director with stakeholders</t>
  </si>
  <si>
    <t xml:space="preserve">https://www.eba.europa.eu/about-us/organisation-and-governance/accountability/public-meetings-registers</t>
  </si>
  <si>
    <t xml:space="preserve">EIOPA – record of meetings (Chairperson)</t>
  </si>
  <si>
    <t xml:space="preserve">EIOPA</t>
  </si>
  <si>
    <t xml:space="preserve">Meetings and expenses of the Chairperson</t>
  </si>
  <si>
    <t xml:space="preserve">https://www.eiopa.europa.eu/about/accountability-and-transparency/record-meetings_en</t>
  </si>
  <si>
    <t xml:space="preserve">ESMA – stakeholder relations / Chair &amp; ED calendars</t>
  </si>
  <si>
    <t xml:space="preserve">ESMA</t>
  </si>
  <si>
    <t xml:space="preserve">Calendars of Chair and Executive Director (yearly PDFs)</t>
  </si>
  <si>
    <t xml:space="preserve">https://www.esma.europa.eu/node/200182</t>
  </si>
  <si>
    <t xml:space="preserve">EMA – industry stakeholder platform meetings</t>
  </si>
  <si>
    <t xml:space="preserve">European Medicines Agency</t>
  </si>
  <si>
    <t xml:space="preserve">Meetings with industry; participant lists &amp; minutes</t>
  </si>
  <si>
    <t xml:space="preserve">https://www.ema.europa.eu/en/partners-networks/pharmaceutical-industry/industry-stakeholder-platform-meetings</t>
  </si>
  <si>
    <t xml:space="preserve">EESC – publication of office-holders’ meetings (rules)</t>
  </si>
  <si>
    <t xml:space="preserve">European Economic and Social Committee</t>
  </si>
  <si>
    <t xml:space="preserve">Record of processing: EESC office-holding members’ meetings with interest representatives are published</t>
  </si>
  <si>
    <t xml:space="preserve">https://www.eesc.europa.eu/sites/default/files/ropas/RoPA%20E111_Publication%20of%20meetings%20of%20EESC%20office-holding%20members%20with%20interest%20representatives%20.pdf</t>
  </si>
  <si>
    <t xml:space="preserve">CoR – legislative footprint</t>
  </si>
  <si>
    <t xml:space="preserve">European Committee of the Regions</t>
  </si>
  <si>
    <t xml:space="preserve">Voluntary list of organisations that gave input to a rapporteur’s opinion (since 1 Jan 2024)</t>
  </si>
  <si>
    <t xml:space="preserve">Kept in the opinion file; public on request (not online)</t>
  </si>
  <si>
    <t xml:space="preserve">On request</t>
  </si>
  <si>
    <t xml:space="preserve">https://www.cor.europa.eu/sites/default/files/2026-01/legislative_footprint.pdf</t>
  </si>
  <si>
    <t xml:space="preserve">European Ombudsman</t>
  </si>
  <si>
    <t xml:space="preserve">Inquiries/decisions on lobbying transparency, revolving doors, Council transparency</t>
  </si>
  <si>
    <t xml:space="preserve">https://www.ombudsman.europa.eu/en/home</t>
  </si>
  <si>
    <t xml:space="preserve">MEETINGS – Belgium</t>
  </si>
  <si>
    <t xml:space="preserve">Belgian Chamber – Registre des lobbies</t>
  </si>
  <si>
    <t xml:space="preserve">Chambre des représentants</t>
  </si>
  <si>
    <t xml:space="preserve">Chamber-only lobby register (from 2017 political agreement + Rule 163ter). Bill DOC 56 0119 would create a mandatory register for Chamber, Senate &amp; federal government with a “legislative footprint” in bills</t>
  </si>
  <si>
    <t xml:space="preserve">No publication of ministers’ meetings found</t>
  </si>
  <si>
    <t xml:space="preserve">https://www.lachambre.be/kvvcr/showpage.cfm?section=/lobby&amp;language=fr</t>
  </si>
  <si>
    <t xml:space="preserve">MEETINGS – Civil society tools</t>
  </si>
  <si>
    <t xml:space="preserve">Integrity Watch EU – Commission meetings</t>
  </si>
  <si>
    <t xml:space="preserve">Transparency International EU</t>
  </si>
  <si>
    <t xml:space="preserve">All Commission meetings, searchable by official/organisation; updated daily</t>
  </si>
  <si>
    <t xml:space="preserve">Covers Dec 2024 extension (27,500+ meetings logged since Dec 2024 as of Apr 2026)</t>
  </si>
  <si>
    <t xml:space="preserve">https://integritywatch.eu/ecmeetings</t>
  </si>
  <si>
    <t xml:space="preserve">Integrity Watch EU – MEP meetings</t>
  </si>
  <si>
    <t xml:space="preserve">All declared MEP meetings (63,500+ since June 2024 as of Apr 2026); updated daily</t>
  </si>
  <si>
    <t xml:space="preserve">https://integritywatch.eu/mepmeetings</t>
  </si>
  <si>
    <t xml:space="preserve">Integrity Watch EU – EU Lobbyists tool (May 2026)</t>
  </si>
  <si>
    <t xml:space="preserve">Combines Transparency Register data with Commission + EP meetings per organisation</t>
  </si>
  <si>
    <t xml:space="preserve">Launched 29 May 2026</t>
  </si>
  <si>
    <t xml:space="preserve">https://integritywatch.eu/organizations.php?s=1</t>
  </si>
  <si>
    <t xml:space="preserve">LobbyFacts.eu</t>
  </si>
  <si>
    <t xml:space="preserve">Corporate Europe Observatory &amp; LobbyControl</t>
  </si>
  <si>
    <t xml:space="preserve">Historical Transparency Register data + Commission meetings per organisation</t>
  </si>
  <si>
    <t xml:space="preserve">https://www.lobbyfacts.eu/</t>
  </si>
  <si>
    <t xml:space="preserve">AsktheEU.org</t>
  </si>
  <si>
    <t xml:space="preserve">Access Info Europe</t>
  </si>
  <si>
    <t xml:space="preserve">Public access-to-documents requests (e.g. meeting minutes, briefings) and answers</t>
  </si>
  <si>
    <t xml:space="preserve">Ask for minutes of specific meetings</t>
  </si>
  <si>
    <t xml:space="preserve">https://www.asktheeu.org/</t>
  </si>
  <si>
    <t xml:space="preserve">Site returned error during check</t>
  </si>
  <si>
    <t xml:space="preserve">Parltrack</t>
  </si>
  <si>
    <t xml:space="preserve">Independent (open data)</t>
  </si>
  <si>
    <t xml:space="preserve">EP dossiers, MEP activities, amendments; aggregates EP data</t>
  </si>
  <si>
    <t xml:space="preserve">https://parltrack.org/</t>
  </si>
  <si>
    <t xml:space="preserve">Site down during check (502)</t>
  </si>
  <si>
    <t xml:space="preserve">HowTheyVote.eu</t>
  </si>
  <si>
    <t xml:space="preserve">Independent</t>
  </si>
  <si>
    <t xml:space="preserve">EP roll-call votes</t>
  </si>
  <si>
    <t xml:space="preserve">Votes, not meetings – useful to cross-check</t>
  </si>
  <si>
    <t xml:space="preserve">https://howtheyvote.eu/</t>
  </si>
  <si>
    <t xml:space="preserve">EU Matrix</t>
  </si>
  <si>
    <t xml:space="preserve">EU Matrix (commercial)</t>
  </si>
  <si>
    <t xml:space="preserve">Database of 34,000+ disclosed MEP meetings, filter by topic/organisation/file/committee; voting analytics</t>
  </si>
  <si>
    <t xml:space="preserve">Detailed breakdown = premium</t>
  </si>
  <si>
    <t xml:space="preserve">Freemium</t>
  </si>
  <si>
    <t xml:space="preserve">https://eumatrix.eu/</t>
  </si>
  <si>
    <t xml:space="preserve">URL root (subpage 404)</t>
  </si>
  <si>
    <t xml:space="preserve">Corporate Europe Observatory</t>
  </si>
  <si>
    <t xml:space="preserve">CEO</t>
  </si>
  <si>
    <t xml:space="preserve">Investigations into lobby access (often based on meeting data &amp; FOI)</t>
  </si>
  <si>
    <t xml:space="preserve">https://corporateeurope.org/en</t>
  </si>
  <si>
    <t xml:space="preserve">ALTER-EU</t>
  </si>
  <si>
    <t xml:space="preserve">Alliance for Lobbying Transparency</t>
  </si>
  <si>
    <t xml:space="preserve">Campaign analyses of Commission/Council lobby transparency</t>
  </si>
  <si>
    <t xml:space="preserve">https://alter-eu.org/</t>
  </si>
  <si>
    <t xml:space="preserve">EU Whoiswho</t>
  </si>
  <si>
    <t xml:space="preserve">Publications Office</t>
  </si>
  <si>
    <t xml:space="preserve">Official directory of EU staff – identify who sits in which unit</t>
  </si>
  <si>
    <t xml:space="preserve">https://op.europa.eu/en/web/who-is-who</t>
  </si>
  <si>
    <t xml:space="preserve">MEETINGS – Commercial monitoring</t>
  </si>
  <si>
    <t xml:space="preserve">Commercial EU monitoring platforms</t>
  </si>
  <si>
    <t xml:space="preserve">Various</t>
  </si>
  <si>
    <t xml:space="preserve">DemoSquare, Dixit, Dods Political Intelligence, EU Issue Tracker (FiscalNote), EU Matrix, Helio, Polpo, Prismos, Policy-Insider.AI, PolicyMate, POLITICO Pro, PoliVue, SAVOIRR, SPAAK, Thembi, Ulobby, TSC.ai, Quorum; specialist: Agra Facts, Cullen International, MLex</t>
  </si>
  <si>
    <t xml:space="preserve">Paid; most track agendas/committees, some add meeting data</t>
  </si>
  <si>
    <t xml:space="preserve">Paid</t>
  </si>
  <si>
    <t xml:space="preserve">https://pac.org/government-relations-tracking-analytics-tools-eu-public-affairs</t>
  </si>
  <si>
    <t xml:space="preserve">Verified (lists: PAC, Best in Brussels)</t>
  </si>
  <si>
    <t xml:space="preserve">EVENTS – Aggregators</t>
  </si>
  <si>
    <t xml:space="preserve">The Bubble – Agenda</t>
  </si>
  <si>
    <t xml:space="preserve">TheBubble (independent)</t>
  </si>
  <si>
    <t xml:space="preserve">Curated Brussels policy events; ~905 events from ~270 organisers in its database when checked</t>
  </si>
  <si>
    <t xml:space="preserve">Free + weekly newsletter</t>
  </si>
  <si>
    <t xml:space="preserve">https://the-bubble.org/agenda/</t>
  </si>
  <si>
    <t xml:space="preserve">Verified (JS page)</t>
  </si>
  <si>
    <t xml:space="preserve">EU Agenda (euagenda.eu)</t>
  </si>
  <si>
    <t xml:space="preserve">EU Agenda</t>
  </si>
  <si>
    <t xml:space="preserve">Largest EU-affairs event listing (organisers publish themselves)</t>
  </si>
  <si>
    <t xml:space="preserve">Free listing; paid boosts</t>
  </si>
  <si>
    <t xml:space="preserve">https://euagenda.eu/</t>
  </si>
  <si>
    <t xml:space="preserve">Rapporteur Agenda</t>
  </si>
  <si>
    <t xml:space="preserve">The Rapporteur</t>
  </si>
  <si>
    <t xml:space="preserve">“Agenda of all European affairs events” (Euractiv events now redirect to Rapporteur’s platform)</t>
  </si>
  <si>
    <t xml:space="preserve">https://agenda.rapporteur.com/</t>
  </si>
  <si>
    <t xml:space="preserve">EbS planning (Europe by Satellite)</t>
  </si>
  <si>
    <t xml:space="preserve">European Commission Audiovisual Service</t>
  </si>
  <si>
    <t xml:space="preserve">Daily schedule of filmed institutional events: press conferences, Council arrivals, plenary</t>
  </si>
  <si>
    <t xml:space="preserve">Excellent for who-meets-whom visuals</t>
  </si>
  <si>
    <t xml:space="preserve">https://audiovisual.ec.europa.eu/en/ebs/planning</t>
  </si>
  <si>
    <t xml:space="preserve">European Commission events portal</t>
  </si>
  <si>
    <t xml:space="preserve">All Commission/DG events (filter by DG/topic)</t>
  </si>
  <si>
    <t xml:space="preserve">https://commission.europa.eu/get-involved/events_en</t>
  </si>
  <si>
    <t xml:space="preserve">European Union events (all institutions)</t>
  </si>
  <si>
    <t xml:space="preserve">EU</t>
  </si>
  <si>
    <t xml:space="preserve">Events across EU institutions &amp; agencies</t>
  </si>
  <si>
    <t xml:space="preserve">https://european-union.europa.eu/news-and-events/events_en</t>
  </si>
  <si>
    <t xml:space="preserve">European Parliament agenda</t>
  </si>
  <si>
    <t xml:space="preserve">Weekly EP agenda (plenary, committees, events)</t>
  </si>
  <si>
    <t xml:space="preserve">https://www.europarl.europa.eu/news/en/agenda</t>
  </si>
  <si>
    <t xml:space="preserve">EESC agenda / CoR plenaries &amp; events</t>
  </si>
  <si>
    <t xml:space="preserve">EESC / CoR</t>
  </si>
  <si>
    <t xml:space="preserve">Plenaries, conferences, hearings</t>
  </si>
  <si>
    <t xml:space="preserve">https://www.eesc.europa.eu/en/agenda</t>
  </si>
  <si>
    <t xml:space="preserve">EU Monitor</t>
  </si>
  <si>
    <t xml:space="preserve">EU Monitor (PDC)</t>
  </si>
  <si>
    <t xml:space="preserve">Institutional calendar incl. Council working parties, Commission meetings</t>
  </si>
  <si>
    <t xml:space="preserve">https://www.eumonitor.eu/</t>
  </si>
  <si>
    <t xml:space="preserve">iEU Monitoring – events calendar</t>
  </si>
  <si>
    <t xml:space="preserve">iEU Monitoring</t>
  </si>
  <si>
    <t xml:space="preserve">Council working parties, Coreper, Commission expert groups, speeches</t>
  </si>
  <si>
    <t xml:space="preserve">https://ieu-monitoring.com/events/</t>
  </si>
  <si>
    <t xml:space="preserve">Site error during check (520)</t>
  </si>
  <si>
    <t xml:space="preserve">POLITICO Brussels Playbook</t>
  </si>
  <si>
    <t xml:space="preserve">POLITICO Europe</t>
  </si>
  <si>
    <t xml:space="preserve">Daily newsletter incl. day’s agenda of Commissioners, MEPs, Council</t>
  </si>
  <si>
    <t xml:space="preserve">Free (Pro paid)</t>
  </si>
  <si>
    <t xml:space="preserve">https://www.politico.eu/newsletter/brussels-playbook/</t>
  </si>
  <si>
    <t xml:space="preserve">EUobserver – This week (Agenda)</t>
  </si>
  <si>
    <t xml:space="preserve">EUobserver</t>
  </si>
  <si>
    <t xml:space="preserve">Weekly institutional agenda</t>
  </si>
  <si>
    <t xml:space="preserve">https://euobserver.com/topic/agenda/</t>
  </si>
  <si>
    <t xml:space="preserve">Agence Europe – Calendar (main activities of EU institutions)</t>
  </si>
  <si>
    <t xml:space="preserve">Agence Europe</t>
  </si>
  <si>
    <t xml:space="preserve">Free weekly-ahead calendar: Council configurations &amp; preparatory bodies (Coreper, working parties, with links to full lists), Commission College agenda items, EP committee activities/delegations, European Council summits, ECB, Court of Auditors</t>
  </si>
  <si>
    <t xml:space="preserve">Free to read; bulletin itself is paid</t>
  </si>
  <si>
    <t xml:space="preserve">https://agenceurope.eu/en/calendar.html</t>
  </si>
  <si>
    <t xml:space="preserve">Verified 29 Oct 2026</t>
  </si>
  <si>
    <t xml:space="preserve">Agence Europe – Calendar Extra (other events)</t>
  </si>
  <si>
    <t xml:space="preserve">Free ~2-week listing of conferences by think tanks, associations, EESC, Commission, Presidency, regional representations (in FR/EN), with organiser &amp; info link</t>
  </si>
  <si>
    <t xml:space="preserve">On 29 Oct 2026: ~60 events from ~30 organisers; 15 organisers not previously in this list were added to the Organisations tab</t>
  </si>
  <si>
    <t xml:space="preserve">https://agenceurope.eu/en/calendar-extra.html</t>
  </si>
  <si>
    <t xml:space="preserve">PubAffairs Bruxelles – event series</t>
  </si>
  <si>
    <t xml:space="preserve">PubAffairs</t>
  </si>
  <si>
    <t xml:space="preserve">Policy debates/networking</t>
  </si>
  <si>
    <t xml:space="preserve">https://www.pubaffairsbruxelles.eu/event/</t>
  </si>
  <si>
    <t xml:space="preserve">Brussels Times – events listing</t>
  </si>
  <si>
    <t xml:space="preserve">Brussels Times</t>
  </si>
  <si>
    <t xml:space="preserve">Business/policy/community events</t>
  </si>
  <si>
    <t xml:space="preserve">https://event.brusselstimes.com/events-listing/</t>
  </si>
  <si>
    <t xml:space="preserve">Luma – discover (search “Brussels”)</t>
  </si>
  <si>
    <t xml:space="preserve">Luma</t>
  </si>
  <si>
    <t xml:space="preserve">Community/start-up/AI/policy meetups (many Bubble events are hosted here)</t>
  </si>
  <si>
    <t xml:space="preserve">https://luma.com/discover</t>
  </si>
  <si>
    <t xml:space="preserve">Eventbrite – EU policy, Brussels</t>
  </si>
  <si>
    <t xml:space="preserve">Eventbrite</t>
  </si>
  <si>
    <t xml:space="preserve">Events tagged EU policy in Brussels</t>
  </si>
  <si>
    <t xml:space="preserve">https://www.eventbrite.be/d/belgium--brussels/eu-policy/</t>
  </si>
  <si>
    <t xml:space="preserve">Meetup – Brussels</t>
  </si>
  <si>
    <t xml:space="preserve">Meetup</t>
  </si>
  <si>
    <t xml:space="preserve">Community groups &amp; meetups</t>
  </si>
  <si>
    <t xml:space="preserve">https://www.meetup.com/find/?location=be--Brussels</t>
  </si>
  <si>
    <t xml:space="preserve">Group</t>
  </si>
  <si>
    <t xml:space="preserve">Organisation</t>
  </si>
  <si>
    <t xml:space="preserve">Type</t>
  </si>
  <si>
    <t xml:space="preserve">Events page (or homepage)</t>
  </si>
  <si>
    <t xml:space="preserve">On The Bubble</t>
  </si>
  <si>
    <t xml:space="preserve">1 EU institutions &amp; bodies</t>
  </si>
  <si>
    <t xml:space="preserve">ACER (Energy Regulators)</t>
  </si>
  <si>
    <t xml:space="preserve">EU agency</t>
  </si>
  <si>
    <t xml:space="preserve">https://extranet.acer.europa.eu/Events</t>
  </si>
  <si>
    <t xml:space="preserve">verified (discovered from site navigation)</t>
  </si>
  <si>
    <t xml:space="preserve">BEREC</t>
  </si>
  <si>
    <t xml:space="preserve">https://www.berec.europa.eu/en/events</t>
  </si>
  <si>
    <t xml:space="preserve">verified</t>
  </si>
  <si>
    <t xml:space="preserve">Yes</t>
  </si>
  <si>
    <t xml:space="preserve">Cedefop</t>
  </si>
  <si>
    <t xml:space="preserve">https://www.cedefop.europa.eu/en/events</t>
  </si>
  <si>
    <t xml:space="preserve">CEPOL</t>
  </si>
  <si>
    <t xml:space="preserve">https://www.cepol.europa.eu/education-training/what-we-teach/residential-activities</t>
  </si>
  <si>
    <t xml:space="preserve">Clean Hydrogen Partnership</t>
  </si>
  <si>
    <t xml:space="preserve">https://www.clean-hydrogen.europa.eu/media/events_en</t>
  </si>
  <si>
    <t xml:space="preserve">Council of the EU / European Council – meeting calendar</t>
  </si>
  <si>
    <t xml:space="preserve">EU institution</t>
  </si>
  <si>
    <t xml:space="preserve">bot-protected – opens normally in a browser</t>
  </si>
  <si>
    <t xml:space="preserve">Council Presidency (Ireland, H2 2026)</t>
  </si>
  <si>
    <t xml:space="preserve">https://irish-presidency.consilium.europa.eu/en/events/</t>
  </si>
  <si>
    <t xml:space="preserve">Covenant of Mayors</t>
  </si>
  <si>
    <t xml:space="preserve">https://eu-mayors.ec.europa.eu/en/events</t>
  </si>
  <si>
    <t xml:space="preserve">DG Agriculture</t>
  </si>
  <si>
    <t xml:space="preserve">https://agriculture.ec.europa.eu/events_en</t>
  </si>
  <si>
    <t xml:space="preserve">DG CLIMA</t>
  </si>
  <si>
    <t xml:space="preserve">https://climate.ec.europa.eu/news-your-voice/events_en</t>
  </si>
  <si>
    <t xml:space="preserve">DG COMP (Competition)</t>
  </si>
  <si>
    <t xml:space="preserve">https://competition-policy.ec.europa.eu/about/reaching-out_en</t>
  </si>
  <si>
    <t xml:space="preserve">DG CONNECT / Shaping Europe's Digital Future</t>
  </si>
  <si>
    <t xml:space="preserve">https://digital-strategy.ec.europa.eu/en/events</t>
  </si>
  <si>
    <t xml:space="preserve">DG DEFIS (Defence Industry &amp; Space)</t>
  </si>
  <si>
    <t xml:space="preserve">https://defence-industry-space.ec.europa.eu/newsroom/events_en</t>
  </si>
  <si>
    <t xml:space="preserve">DG EAC (Education &amp; Culture)</t>
  </si>
  <si>
    <t xml:space="preserve">https://education.ec.europa.eu/events</t>
  </si>
  <si>
    <t xml:space="preserve">DG ECFIN (Economy &amp; Finance)</t>
  </si>
  <si>
    <t xml:space="preserve">https://economy-finance.ec.europa.eu/events_en</t>
  </si>
  <si>
    <t xml:space="preserve">DG EMPL (Employment &amp; Social)</t>
  </si>
  <si>
    <t xml:space="preserve">https://employment-social-affairs.ec.europa.eu/events_en</t>
  </si>
  <si>
    <t xml:space="preserve">DG Energy</t>
  </si>
  <si>
    <t xml:space="preserve">https://energy.ec.europa.eu/events_en</t>
  </si>
  <si>
    <t xml:space="preserve">DG Environment</t>
  </si>
  <si>
    <t xml:space="preserve">https://environment.ec.europa.eu/events_en</t>
  </si>
  <si>
    <t xml:space="preserve">DG FISMA (Finance)</t>
  </si>
  <si>
    <t xml:space="preserve">https://finance.ec.europa.eu/events_en</t>
  </si>
  <si>
    <t xml:space="preserve">DG Food Safety</t>
  </si>
  <si>
    <t xml:space="preserve">https://food.ec.europa.eu/events_en</t>
  </si>
  <si>
    <t xml:space="preserve">DG GROW (Single Market)</t>
  </si>
  <si>
    <t xml:space="preserve">https://single-market-economy.ec.europa.eu/events_en</t>
  </si>
  <si>
    <t xml:space="preserve">DG HOME (Migration &amp; Home Affairs)</t>
  </si>
  <si>
    <t xml:space="preserve">https://home-affairs.ec.europa.eu/events_en</t>
  </si>
  <si>
    <t xml:space="preserve">DG INTPA (International Partnerships)</t>
  </si>
  <si>
    <t xml:space="preserve">https://international-partnerships.ec.europa.eu/news-and-events/events_en</t>
  </si>
  <si>
    <t xml:space="preserve">DG JUST (Justice &amp; Consumers)</t>
  </si>
  <si>
    <t xml:space="preserve">DG MARE (Oceans &amp; Fisheries)</t>
  </si>
  <si>
    <t xml:space="preserve">https://oceans-and-fisheries.ec.europa.eu/events_en</t>
  </si>
  <si>
    <t xml:space="preserve">DG MOVE (Transport)</t>
  </si>
  <si>
    <t xml:space="preserve">https://transport.ec.europa.eu/news-events/events_en</t>
  </si>
  <si>
    <t xml:space="preserve">DG REGIO (Regional policy)</t>
  </si>
  <si>
    <t xml:space="preserve">DG Research &amp; Innovation</t>
  </si>
  <si>
    <t xml:space="preserve">https://research-and-innovation.ec.europa.eu/events_en</t>
  </si>
  <si>
    <t xml:space="preserve">DG SANTE (Public Health)</t>
  </si>
  <si>
    <t xml:space="preserve">https://health.ec.europa.eu/events_en</t>
  </si>
  <si>
    <t xml:space="preserve">DG TAXUD</t>
  </si>
  <si>
    <t xml:space="preserve">https://taxation-customs.ec.europa.eu/events_en</t>
  </si>
  <si>
    <t xml:space="preserve">DG Trade (policy.trade.ec.europa.eu)</t>
  </si>
  <si>
    <t xml:space="preserve">https://policy.trade.ec.europa.eu/events_en</t>
  </si>
  <si>
    <t xml:space="preserve">https://www.eiopa.europa.eu/media/events_en</t>
  </si>
  <si>
    <t xml:space="preserve">EIT Food</t>
  </si>
  <si>
    <t xml:space="preserve">https://www.eitfood.eu/events</t>
  </si>
  <si>
    <t xml:space="preserve">added from Agence Europe Calendar Extra – verified</t>
  </si>
  <si>
    <t xml:space="preserve">ENISA</t>
  </si>
  <si>
    <t xml:space="preserve">https://www.enisa.europa.eu/events</t>
  </si>
  <si>
    <t xml:space="preserve">https://www.esma.europa.eu/press-news/esma-events</t>
  </si>
  <si>
    <t xml:space="preserve">EU Agency for Fundamental Rights</t>
  </si>
  <si>
    <t xml:space="preserve">https://fra.europa.eu/en/events</t>
  </si>
  <si>
    <t xml:space="preserve">EU Institute for Security Studies</t>
  </si>
  <si>
    <t xml:space="preserve">https://www.iss.europa.eu/activities/events</t>
  </si>
  <si>
    <t xml:space="preserve">EU Publications Office</t>
  </si>
  <si>
    <t xml:space="preserve">https://op.europa.eu/en/web/about-us/events</t>
  </si>
  <si>
    <t xml:space="preserve">EU Research &amp; Innovation community platform (EURAXESS, R&amp;I Days)</t>
  </si>
  <si>
    <t xml:space="preserve">https://research-innovation-community.ec.europa.eu/events</t>
  </si>
  <si>
    <t xml:space="preserve">added from Agence Europe Calendar Extra – verified (page loads)</t>
  </si>
  <si>
    <t xml:space="preserve">Eurofound</t>
  </si>
  <si>
    <t xml:space="preserve">https://www.eurofound.europa.eu/en/events</t>
  </si>
  <si>
    <t xml:space="preserve">https://www.eba.europa.eu/publications-and-media/events</t>
  </si>
  <si>
    <t xml:space="preserve">https://www.ecb.europa.eu/press/conferences/html/index.en.html</t>
  </si>
  <si>
    <t xml:space="preserve">European Chemicals Agency</t>
  </si>
  <si>
    <t xml:space="preserve">https://echa.europa.eu/news-and-events/events</t>
  </si>
  <si>
    <t xml:space="preserve">European Commission (events)</t>
  </si>
  <si>
    <t xml:space="preserve">European Commission Representation in Belgium</t>
  </si>
  <si>
    <t xml:space="preserve">https://belgium.representation.ec.europa.eu/news-and-events/events_fr</t>
  </si>
  <si>
    <t xml:space="preserve">https://cor.europa.eu/en/events</t>
  </si>
  <si>
    <t xml:space="preserve">European Court of Auditors</t>
  </si>
  <si>
    <t xml:space="preserve">https://www.eca.europa.eu/en/events</t>
  </si>
  <si>
    <t xml:space="preserve">European Data Protection Supervisor</t>
  </si>
  <si>
    <t xml:space="preserve">https://www.edps.europa.eu/press-publications/events_en</t>
  </si>
  <si>
    <t xml:space="preserve">European Defence Agency</t>
  </si>
  <si>
    <t xml:space="preserve">https://eda.europa.eu/news-and-events/events</t>
  </si>
  <si>
    <t xml:space="preserve">European Environment Agency</t>
  </si>
  <si>
    <t xml:space="preserve">https://www.eea.europa.eu/en/newsroom/events</t>
  </si>
  <si>
    <t xml:space="preserve">European External Action Service</t>
  </si>
  <si>
    <t xml:space="preserve">https://www.eeas.europa.eu/eeas/events_en</t>
  </si>
  <si>
    <t xml:space="preserve">European Food Safety Authority</t>
  </si>
  <si>
    <t xml:space="preserve">https://www.efsa.europa.eu/en/events</t>
  </si>
  <si>
    <t xml:space="preserve">European Innovation Council / EISMEA</t>
  </si>
  <si>
    <t xml:space="preserve">https://eic.ec.europa.eu/events_en</t>
  </si>
  <si>
    <t xml:space="preserve">European Investment Bank</t>
  </si>
  <si>
    <t xml:space="preserve">https://www.eib.org/en/events/index</t>
  </si>
  <si>
    <t xml:space="preserve">European Labour Authority</t>
  </si>
  <si>
    <t xml:space="preserve">https://www.ela.europa.eu/en/events</t>
  </si>
  <si>
    <t xml:space="preserve">https://www.ema.europa.eu/en/news-events</t>
  </si>
  <si>
    <t xml:space="preserve">https://www.ombudsman.europa.eu/en/events</t>
  </si>
  <si>
    <t xml:space="preserve">European Parliament (events)</t>
  </si>
  <si>
    <t xml:space="preserve">European Parliament Liaison Office Belgium</t>
  </si>
  <si>
    <t xml:space="preserve">https://www.europarl.europa.eu/belgium/fr/actualites-activites</t>
  </si>
  <si>
    <t xml:space="preserve">European Parliament – Think Tank (EPRS) events</t>
  </si>
  <si>
    <t xml:space="preserve">https://www.europarl.europa.eu/thinktank/en/events</t>
  </si>
  <si>
    <t xml:space="preserve">Europol</t>
  </si>
  <si>
    <t xml:space="preserve">https://www.europol.europa.eu/events</t>
  </si>
  <si>
    <t xml:space="preserve">Eurostat</t>
  </si>
  <si>
    <t xml:space="preserve">House of European History</t>
  </si>
  <si>
    <t xml:space="preserve">https://historia.europa.eu/en/exhibitions-events/events</t>
  </si>
  <si>
    <t xml:space="preserve">Joint Research Centre</t>
  </si>
  <si>
    <t xml:space="preserve">https://joint-research-centre.ec.europa.eu/events_en</t>
  </si>
  <si>
    <t xml:space="preserve">Rural Pact / European Rural Mobility Network</t>
  </si>
  <si>
    <t xml:space="preserve">https://ruralpact.rural-vision.europa.eu/events_en</t>
  </si>
  <si>
    <t xml:space="preserve">added from Agence Europe Calendar Extra – bot-protected (opens in browser)</t>
  </si>
  <si>
    <t xml:space="preserve">SESAR Joint Undertaking</t>
  </si>
  <si>
    <t xml:space="preserve">https://www.sesarju.eu/events</t>
  </si>
  <si>
    <t xml:space="preserve">2 Political groups, parties &amp; foundations</t>
  </si>
  <si>
    <t xml:space="preserve">ALDE Party</t>
  </si>
  <si>
    <t xml:space="preserve">European party</t>
  </si>
  <si>
    <t xml:space="preserve">https://www.aldeparty.eu/events</t>
  </si>
  <si>
    <t xml:space="preserve">Coppieters Foundation</t>
  </si>
  <si>
    <t xml:space="preserve">Political foundation</t>
  </si>
  <si>
    <t xml:space="preserve">https://coppietersfoundation.eu/activities/event/</t>
  </si>
  <si>
    <t xml:space="preserve">ECR Group</t>
  </si>
  <si>
    <t xml:space="preserve">EP political group</t>
  </si>
  <si>
    <t xml:space="preserve">https://ecrgroup.eu/events</t>
  </si>
  <si>
    <t xml:space="preserve">EPP Group</t>
  </si>
  <si>
    <t xml:space="preserve">https://www.eppgroup.eu/newsroom/events</t>
  </si>
  <si>
    <t xml:space="preserve">Europe of Sovereign Nations Group</t>
  </si>
  <si>
    <t xml:space="preserve">https://esn-group.eu/</t>
  </si>
  <si>
    <t xml:space="preserve">European Democratic Party</t>
  </si>
  <si>
    <t xml:space="preserve">https://democrats.eu/events/</t>
  </si>
  <si>
    <t xml:space="preserve">European Green Party</t>
  </si>
  <si>
    <t xml:space="preserve">https://europeangreens.eu/events/</t>
  </si>
  <si>
    <t xml:space="preserve">European Liberal Forum</t>
  </si>
  <si>
    <t xml:space="preserve">https://liberalforum.eu/events/</t>
  </si>
  <si>
    <t xml:space="preserve">European People's Party (EPP)</t>
  </si>
  <si>
    <t xml:space="preserve">https://www.epp.eu/events</t>
  </si>
  <si>
    <t xml:space="preserve">reachable (homepage / no separate events page found)</t>
  </si>
  <si>
    <t xml:space="preserve">FEPS (S&amp;D foundation)</t>
  </si>
  <si>
    <t xml:space="preserve">https://feps-europe.eu/upcoming-events/</t>
  </si>
  <si>
    <t xml:space="preserve">Fondation Jean-Jaurès</t>
  </si>
  <si>
    <t xml:space="preserve">https://www.jean-jaures.org/evenements/</t>
  </si>
  <si>
    <t xml:space="preserve">Friedrich Ebert Stiftung – Brussels</t>
  </si>
  <si>
    <t xml:space="preserve">https://brussels.fes.de/events</t>
  </si>
  <si>
    <t xml:space="preserve">Friedrich Naumann Foundation – Brussels</t>
  </si>
  <si>
    <t xml:space="preserve">https://www.freiheit.org/european-union</t>
  </si>
  <si>
    <t xml:space="preserve">Green European Foundation</t>
  </si>
  <si>
    <t xml:space="preserve">https://gef.eu/events/</t>
  </si>
  <si>
    <t xml:space="preserve">Greens/EFA Group</t>
  </si>
  <si>
    <t xml:space="preserve">https://www.greens-efa.eu/en/get-involved/our-events</t>
  </si>
  <si>
    <t xml:space="preserve">Hanns Seidel Stiftung – Brussels</t>
  </si>
  <si>
    <t xml:space="preserve">https://www.hss.de/en/</t>
  </si>
  <si>
    <t xml:space="preserve">Heinrich Böll Stiftung – Brussels</t>
  </si>
  <si>
    <t xml:space="preserve">https://eu.boell.org/en/events</t>
  </si>
  <si>
    <t xml:space="preserve">Institute of European Democrats</t>
  </si>
  <si>
    <t xml:space="preserve">https://www.iedonline.eu/events</t>
  </si>
  <si>
    <t xml:space="preserve">Konrad Adenauer Stiftung – Brussels</t>
  </si>
  <si>
    <t xml:space="preserve">https://www.kas.de/en/web/europa</t>
  </si>
  <si>
    <t xml:space="preserve">New Direction (ECR foundation)</t>
  </si>
  <si>
    <t xml:space="preserve">https://newdirection.online/events</t>
  </si>
  <si>
    <t xml:space="preserve">Partito Democratico Europeo</t>
  </si>
  <si>
    <t xml:space="preserve">Party of European Socialists (PES)</t>
  </si>
  <si>
    <t xml:space="preserve">https://pes.eu/events/</t>
  </si>
  <si>
    <t xml:space="preserve">Patriots for Europe Group</t>
  </si>
  <si>
    <t xml:space="preserve">https://patriotsforeurope.eu/</t>
  </si>
  <si>
    <t xml:space="preserve">Renew Europe Group</t>
  </si>
  <si>
    <t xml:space="preserve">https://www.reneweuropegroup.eu/events</t>
  </si>
  <si>
    <t xml:space="preserve">Rosa Luxemburg Stiftung – Brussels</t>
  </si>
  <si>
    <t xml:space="preserve">https://www.rosalux.eu/en/events</t>
  </si>
  <si>
    <t xml:space="preserve">S&amp;D Group</t>
  </si>
  <si>
    <t xml:space="preserve">https://www.socialistsanddemocrats.eu/latest/type/event</t>
  </si>
  <si>
    <t xml:space="preserve">corrected via web search (site section / homepage)</t>
  </si>
  <si>
    <t xml:space="preserve">The Left Group</t>
  </si>
  <si>
    <t xml:space="preserve">https://left.eu/events/</t>
  </si>
  <si>
    <t xml:space="preserve">Transform! Europe</t>
  </si>
  <si>
    <t xml:space="preserve">https://transform-network.net/event/</t>
  </si>
  <si>
    <t xml:space="preserve">Volt Europa / Volt Belgium</t>
  </si>
  <si>
    <t xml:space="preserve">https://voltbelgium.org/events</t>
  </si>
  <si>
    <t xml:space="preserve">Wilfried Martens Centre (EPP foundation)</t>
  </si>
  <si>
    <t xml:space="preserve">https://www.martenscentre.eu/events/</t>
  </si>
  <si>
    <t xml:space="preserve">3 Think tanks &amp; research</t>
  </si>
  <si>
    <t xml:space="preserve">Agora Energiewende</t>
  </si>
  <si>
    <t xml:space="preserve">Think tank</t>
  </si>
  <si>
    <t xml:space="preserve">https://www.agora-energiewende.org/events</t>
  </si>
  <si>
    <t xml:space="preserve">Atlantic Council Europe Center</t>
  </si>
  <si>
    <t xml:space="preserve">https://www.atlanticcouncil.org/events/</t>
  </si>
  <si>
    <t xml:space="preserve">Bertelsmann Stiftung – Brussels</t>
  </si>
  <si>
    <t xml:space="preserve">https://www.bertelsmann-stiftung.de/en/our-projects/brussels-office</t>
  </si>
  <si>
    <t xml:space="preserve">BPIE</t>
  </si>
  <si>
    <t xml:space="preserve">https://www.bpie.eu/events/</t>
  </si>
  <si>
    <t xml:space="preserve">Bruegel</t>
  </si>
  <si>
    <t xml:space="preserve">https://www.bruegel.org/events</t>
  </si>
  <si>
    <t xml:space="preserve">Brussels Institute for Geopolitics (BIG)</t>
  </si>
  <si>
    <t xml:space="preserve">https://big-europe.eu/events</t>
  </si>
  <si>
    <t xml:space="preserve">Brussels School of Governance (VUB)</t>
  </si>
  <si>
    <t xml:space="preserve">Academia</t>
  </si>
  <si>
    <t xml:space="preserve">https://brussels-school.be/events</t>
  </si>
  <si>
    <t xml:space="preserve">Carnegie Europe</t>
  </si>
  <si>
    <t xml:space="preserve">https://carnegieendowment.org/europe/events</t>
  </si>
  <si>
    <t xml:space="preserve">Centre for European Policy Studies – CEP (cep Centrum für Europäische Politik)</t>
  </si>
  <si>
    <t xml:space="preserve">https://www.cep.eu/en/events.html</t>
  </si>
  <si>
    <t xml:space="preserve">Centre for European Reform (CER)</t>
  </si>
  <si>
    <t xml:space="preserve">https://www.cer.eu/events</t>
  </si>
  <si>
    <t xml:space="preserve">CEPR</t>
  </si>
  <si>
    <t xml:space="preserve">https://cepr.org/events</t>
  </si>
  <si>
    <t xml:space="preserve">CEPS</t>
  </si>
  <si>
    <t xml:space="preserve">https://www.ceps.eu/ceps-events/?filter_state=upcoming</t>
  </si>
  <si>
    <t xml:space="preserve">CERRE</t>
  </si>
  <si>
    <t xml:space="preserve">https://cerre.eu/events/</t>
  </si>
  <si>
    <t xml:space="preserve">Chatham House</t>
  </si>
  <si>
    <t xml:space="preserve">https://www.chathamhouse.org/events</t>
  </si>
  <si>
    <t xml:space="preserve">Clean Air Task Force</t>
  </si>
  <si>
    <t xml:space="preserve">https://www.catf.us/events/</t>
  </si>
  <si>
    <t xml:space="preserve">Clingendael</t>
  </si>
  <si>
    <t xml:space="preserve">https://www.clingendael.org/events</t>
  </si>
  <si>
    <t xml:space="preserve">College of Europe</t>
  </si>
  <si>
    <t xml:space="preserve">https://www.coleurope.eu/events</t>
  </si>
  <si>
    <t xml:space="preserve">Confrontations Europe</t>
  </si>
  <si>
    <t xml:space="preserve">https://confrontations.org/agenda/</t>
  </si>
  <si>
    <t xml:space="preserve">CSIS (Europe programme)</t>
  </si>
  <si>
    <t xml:space="preserve">https://www.csis.org/events</t>
  </si>
  <si>
    <t xml:space="preserve">E3G</t>
  </si>
  <si>
    <t xml:space="preserve">https://www.e3g.org/events/</t>
  </si>
  <si>
    <t xml:space="preserve">ECDPM</t>
  </si>
  <si>
    <t xml:space="preserve">https://ecdpm.org/events</t>
  </si>
  <si>
    <t xml:space="preserve">ECFR</t>
  </si>
  <si>
    <t xml:space="preserve">https://ecfr.eu/events/</t>
  </si>
  <si>
    <t xml:space="preserve">ECIPE</t>
  </si>
  <si>
    <t xml:space="preserve">https://ecipe.org/events/</t>
  </si>
  <si>
    <t xml:space="preserve">EERA</t>
  </si>
  <si>
    <t xml:space="preserve">Research network</t>
  </si>
  <si>
    <t xml:space="preserve">https://www.eera-set.eu/events.html</t>
  </si>
  <si>
    <t xml:space="preserve">Egmont Institute</t>
  </si>
  <si>
    <t xml:space="preserve">https://www.egmontinstitute.be/events/</t>
  </si>
  <si>
    <t xml:space="preserve">EIAS (European Institute for Asian Studies)</t>
  </si>
  <si>
    <t xml:space="preserve">https://eias.org/events/</t>
  </si>
  <si>
    <t xml:space="preserve">Elcano Royal Institute</t>
  </si>
  <si>
    <t xml:space="preserve">https://www.realinstitutoelcano.org/en/events/</t>
  </si>
  <si>
    <t xml:space="preserve">Ember</t>
  </si>
  <si>
    <t xml:space="preserve">https://ember-energy.org/events/</t>
  </si>
  <si>
    <t xml:space="preserve">Epicenter</t>
  </si>
  <si>
    <t xml:space="preserve">https://www.epicenternetwork.eu/events/</t>
  </si>
  <si>
    <t xml:space="preserve">ERA (Academy of European Law)</t>
  </si>
  <si>
    <t xml:space="preserve">Academia (law)</t>
  </si>
  <si>
    <t xml:space="preserve">https://www.era.int/events/</t>
  </si>
  <si>
    <t xml:space="preserve">EU-Asia Centre</t>
  </si>
  <si>
    <t xml:space="preserve">https://www.eu-asiacentre.eu/</t>
  </si>
  <si>
    <t xml:space="preserve">domain not reachable from the test environment – check manually</t>
  </si>
  <si>
    <t xml:space="preserve">EUI – Florence School of Regulation / STG Brussels</t>
  </si>
  <si>
    <t xml:space="preserve">https://fsr.eui.eu/events/</t>
  </si>
  <si>
    <t xml:space="preserve">EuroGOOS</t>
  </si>
  <si>
    <t xml:space="preserve">Research</t>
  </si>
  <si>
    <t xml:space="preserve">https://eurogoos.eu/events/</t>
  </si>
  <si>
    <t xml:space="preserve">European Forest Institute</t>
  </si>
  <si>
    <t xml:space="preserve">https://efi.int/events</t>
  </si>
  <si>
    <t xml:space="preserve">European Marine Board</t>
  </si>
  <si>
    <t xml:space="preserve">https://www.marineboard.eu/events</t>
  </si>
  <si>
    <t xml:space="preserve">European Policy Centre (EPC)</t>
  </si>
  <si>
    <t xml:space="preserve">https://www.epc.eu/en/events</t>
  </si>
  <si>
    <t xml:space="preserve">European Policy Innovation Council</t>
  </si>
  <si>
    <t xml:space="preserve">https://epicouncil.eu/</t>
  </si>
  <si>
    <t xml:space="preserve">Europeum</t>
  </si>
  <si>
    <t xml:space="preserve">https://www.europeum.org/en/events</t>
  </si>
  <si>
    <t xml:space="preserve">Farm Europe</t>
  </si>
  <si>
    <t xml:space="preserve">https://www.farm-europe.eu/events/</t>
  </si>
  <si>
    <t xml:space="preserve">Fondation Robert Schuman</t>
  </si>
  <si>
    <t xml:space="preserve">https://www.robert-schuman.eu/en/agenda</t>
  </si>
  <si>
    <t xml:space="preserve">Foreign Policy Centre</t>
  </si>
  <si>
    <t xml:space="preserve">https://fpc.org.uk/events/</t>
  </si>
  <si>
    <t xml:space="preserve">Friends of Europe</t>
  </si>
  <si>
    <t xml:space="preserve">https://www.friendsofeurope.org/events/</t>
  </si>
  <si>
    <t xml:space="preserve">Future of Privacy Forum</t>
  </si>
  <si>
    <t xml:space="preserve">https://fpf.org/fpf-events/upcoming/</t>
  </si>
  <si>
    <t xml:space="preserve">German Marshall Fund (GMF)</t>
  </si>
  <si>
    <t xml:space="preserve">https://www.gmfus.org/events</t>
  </si>
  <si>
    <t xml:space="preserve">Global Competition Law Centre (College of Europe)</t>
  </si>
  <si>
    <t xml:space="preserve">https://www.coleurope.eu/research/global-competition-law-centre-gclc</t>
  </si>
  <si>
    <t xml:space="preserve">Global Governance Programme / EUI STG</t>
  </si>
  <si>
    <t xml:space="preserve">https://www.eui.eu/events</t>
  </si>
  <si>
    <t xml:space="preserve">IAI (Istituto Affari Internazionali)</t>
  </si>
  <si>
    <t xml:space="preserve">https://www.iai.it/en/eventi</t>
  </si>
  <si>
    <t xml:space="preserve">ICDS (International Centre for Defence and Security)</t>
  </si>
  <si>
    <t xml:space="preserve">https://icds.ee/en/</t>
  </si>
  <si>
    <t xml:space="preserve">IFRI Brussels</t>
  </si>
  <si>
    <t xml:space="preserve">https://www.ifri.org/en/events</t>
  </si>
  <si>
    <t xml:space="preserve">IIEA (Institute of International &amp; European Affairs)</t>
  </si>
  <si>
    <t xml:space="preserve">https://www.iiea.com/events</t>
  </si>
  <si>
    <t xml:space="preserve">IISS</t>
  </si>
  <si>
    <t xml:space="preserve">https://www.iiss.org/events/</t>
  </si>
  <si>
    <t xml:space="preserve">Institut d'études européennes (ULB)</t>
  </si>
  <si>
    <t xml:space="preserve">https://iee.ulb.be/fr/agenda</t>
  </si>
  <si>
    <t xml:space="preserve">Institute for Competitiveness (I-Com)</t>
  </si>
  <si>
    <t xml:space="preserve">https://www.i-com.it/en/events/</t>
  </si>
  <si>
    <t xml:space="preserve">Institute for European Environmental Policy (IEEP)</t>
  </si>
  <si>
    <t xml:space="preserve">https://ieep.eu/events/</t>
  </si>
  <si>
    <t xml:space="preserve">International Center for Law &amp; Economics</t>
  </si>
  <si>
    <t xml:space="preserve">https://laweconcenter.org/events/</t>
  </si>
  <si>
    <t xml:space="preserve">International Crisis Group</t>
  </si>
  <si>
    <t xml:space="preserve">https://www.crisisgroup.org/how-we-work/events</t>
  </si>
  <si>
    <t xml:space="preserve">Jacques Delors Centre / Institute</t>
  </si>
  <si>
    <t xml:space="preserve">https://institutdelors.eu/evenements/</t>
  </si>
  <si>
    <t xml:space="preserve">KU Leuven – Leuven Centre for Global Governance Studies</t>
  </si>
  <si>
    <t xml:space="preserve">https://ghum.kuleuven.be/ggs/events</t>
  </si>
  <si>
    <t xml:space="preserve">Lisbon Council</t>
  </si>
  <si>
    <t xml:space="preserve">https://lisboncouncil.net/</t>
  </si>
  <si>
    <t xml:space="preserve">LSE Brussels / LSE Events</t>
  </si>
  <si>
    <t xml:space="preserve">https://www.lse.ac.uk/events</t>
  </si>
  <si>
    <t xml:space="preserve">MCC Brussels</t>
  </si>
  <si>
    <t xml:space="preserve">https://brussels.mcc.hu/events</t>
  </si>
  <si>
    <t xml:space="preserve">Open Society Foundations – Europe</t>
  </si>
  <si>
    <t xml:space="preserve">https://www.opensocietyfoundations.org/events</t>
  </si>
  <si>
    <t xml:space="preserve">RAP (Regulatory Assistance Project)</t>
  </si>
  <si>
    <t xml:space="preserve">https://www.raponline.org/events/</t>
  </si>
  <si>
    <t xml:space="preserve">Robert Bosch Stiftung</t>
  </si>
  <si>
    <t xml:space="preserve">https://www.bosch-stiftung.de/en/events</t>
  </si>
  <si>
    <t xml:space="preserve">Sitra</t>
  </si>
  <si>
    <t xml:space="preserve">https://www.sitra.fi/en/events/</t>
  </si>
  <si>
    <t xml:space="preserve">Solvay Brussels School</t>
  </si>
  <si>
    <t xml:space="preserve">https://sbs-em.ulb.be/en/events</t>
  </si>
  <si>
    <t xml:space="preserve">Strategic Perspectives</t>
  </si>
  <si>
    <t xml:space="preserve">https://strategicperspectives.eu/</t>
  </si>
  <si>
    <t xml:space="preserve">SWP Brussels</t>
  </si>
  <si>
    <t xml:space="preserve">https://www.swp-berlin.org/en/swp/about-us/organization/swp-brussels/events-in-brussels</t>
  </si>
  <si>
    <t xml:space="preserve">Villa Vigoni (German-Italian centre)</t>
  </si>
  <si>
    <t xml:space="preserve">https://www.villavigoni.eu/</t>
  </si>
  <si>
    <t xml:space="preserve">added from Agence Europe Calendar Extra – verified (homepage)</t>
  </si>
  <si>
    <t xml:space="preserve">Vlerick Business School – Brussels</t>
  </si>
  <si>
    <t xml:space="preserve">https://www.vlerick.com/en/events/</t>
  </si>
  <si>
    <t xml:space="preserve">4 Business, trade &amp; professional associations</t>
  </si>
  <si>
    <t xml:space="preserve">ACEA (Automobile Manufacturers)</t>
  </si>
  <si>
    <t xml:space="preserve">Business association</t>
  </si>
  <si>
    <t xml:space="preserve">https://www.acea.auto/nav?content=events</t>
  </si>
  <si>
    <t xml:space="preserve">ACI Europe</t>
  </si>
  <si>
    <t xml:space="preserve">https://www.aci-europe.org/events.html</t>
  </si>
  <si>
    <t xml:space="preserve">AESGP (Consumer Healthcare)</t>
  </si>
  <si>
    <t xml:space="preserve">https://aesgp.eu/events</t>
  </si>
  <si>
    <t xml:space="preserve">AFME</t>
  </si>
  <si>
    <t xml:space="preserve">https://www.afme.eu/events</t>
  </si>
  <si>
    <t xml:space="preserve">AIJN (European Fruit Juice Association)</t>
  </si>
  <si>
    <t xml:space="preserve">https://www.juicesummit.org/</t>
  </si>
  <si>
    <t xml:space="preserve">verified (event site)</t>
  </si>
  <si>
    <t xml:space="preserve">Airlines for Europe (A4E)</t>
  </si>
  <si>
    <t xml:space="preserve">https://a4e.eu/events/</t>
  </si>
  <si>
    <t xml:space="preserve">Allied for Startups</t>
  </si>
  <si>
    <t xml:space="preserve">https://alliedforstartups.org/events/</t>
  </si>
  <si>
    <t xml:space="preserve">AmCham EU</t>
  </si>
  <si>
    <t xml:space="preserve">https://www.amchameu.eu/events</t>
  </si>
  <si>
    <t xml:space="preserve">American Chamber of Commerce in Belgium</t>
  </si>
  <si>
    <t xml:space="preserve">Chamber of commerce</t>
  </si>
  <si>
    <t xml:space="preserve">https://www.amcham.be/events</t>
  </si>
  <si>
    <t xml:space="preserve">AnimalhealthEurope</t>
  </si>
  <si>
    <t xml:space="preserve">https://animalhealtheurope.eu/events/</t>
  </si>
  <si>
    <t xml:space="preserve">APPLiA</t>
  </si>
  <si>
    <t xml:space="preserve">https://www.applia-europe.eu/news/event-reports</t>
  </si>
  <si>
    <t xml:space="preserve">verified (event reports)</t>
  </si>
  <si>
    <t xml:space="preserve">Association for Competitive Technology (ACT | The App Association)</t>
  </si>
  <si>
    <t xml:space="preserve">https://actonline.org/events/</t>
  </si>
  <si>
    <t xml:space="preserve">BDI Brussels</t>
  </si>
  <si>
    <t xml:space="preserve">https://bdi.eu/de/veranstaltungen</t>
  </si>
  <si>
    <t xml:space="preserve">Belgian-Portuguese Chamber of Commerce</t>
  </si>
  <si>
    <t xml:space="preserve">https://www.ccb-portugal.be/newsevents</t>
  </si>
  <si>
    <t xml:space="preserve">Belgo-Italian Chamber of Commerce</t>
  </si>
  <si>
    <t xml:space="preserve">https://www.ccitabel.com/en/event</t>
  </si>
  <si>
    <t xml:space="preserve">Bioenergy Europe</t>
  </si>
  <si>
    <t xml:space="preserve">https://bioenergyeurope.org/</t>
  </si>
  <si>
    <t xml:space="preserve">British Chamber of Commerce EU &amp; Belgium</t>
  </si>
  <si>
    <t xml:space="preserve">https://www.britcham.eu/events</t>
  </si>
  <si>
    <t xml:space="preserve">BusinessEurope</t>
  </si>
  <si>
    <t xml:space="preserve">https://www.businesseurope.eu/events</t>
  </si>
  <si>
    <t xml:space="preserve">Canada-Europe Economic Chamber</t>
  </si>
  <si>
    <t xml:space="preserve">https://www.canadaeurope.eu/events/</t>
  </si>
  <si>
    <t xml:space="preserve">Carbon Management Europe</t>
  </si>
  <si>
    <t xml:space="preserve">https://carbonmanagementeurope.org/events/</t>
  </si>
  <si>
    <t xml:space="preserve">CCIA Europe</t>
  </si>
  <si>
    <t xml:space="preserve">https://ccianet.org/events/</t>
  </si>
  <si>
    <t xml:space="preserve">CECIMO</t>
  </si>
  <si>
    <t xml:space="preserve">https://www.cecimo.eu/events/</t>
  </si>
  <si>
    <t xml:space="preserve">Cefic</t>
  </si>
  <si>
    <t xml:space="preserve">https://cefic.org/events/</t>
  </si>
  <si>
    <t xml:space="preserve">CEJA (Young Farmers)</t>
  </si>
  <si>
    <t xml:space="preserve">https://www.ceja.eu/</t>
  </si>
  <si>
    <t xml:space="preserve">Cement Europe (CEMBUREAU)</t>
  </si>
  <si>
    <t xml:space="preserve">https://www.cementeurope.eu/events</t>
  </si>
  <si>
    <t xml:space="preserve">CEN-CENELEC</t>
  </si>
  <si>
    <t xml:space="preserve">Standards body</t>
  </si>
  <si>
    <t xml:space="preserve">https://www.cencenelec.eu/news-events/events/</t>
  </si>
  <si>
    <t xml:space="preserve">CEPI (Paper industry)</t>
  </si>
  <si>
    <t xml:space="preserve">https://www.cepi.org/events/</t>
  </si>
  <si>
    <t xml:space="preserve">CER (Community of European Railways)</t>
  </si>
  <si>
    <t xml:space="preserve">https://www.cer.be/events</t>
  </si>
  <si>
    <t xml:space="preserve">CLEPA</t>
  </si>
  <si>
    <t xml:space="preserve">https://clepa.eu/events/</t>
  </si>
  <si>
    <t xml:space="preserve">COGEN Europe</t>
  </si>
  <si>
    <t xml:space="preserve">https://www.cogeneurope.eu/events</t>
  </si>
  <si>
    <t xml:space="preserve">Confcommercio Brussels</t>
  </si>
  <si>
    <t xml:space="preserve">https://www.confcommercio.it/</t>
  </si>
  <si>
    <t xml:space="preserve">Confindustria Brussels</t>
  </si>
  <si>
    <t xml:space="preserve">https://www.confindustria.it/eventi</t>
  </si>
  <si>
    <t xml:space="preserve">Connect Europe (ex-ETNO)</t>
  </si>
  <si>
    <t xml:space="preserve">https://connecteurope.org/events</t>
  </si>
  <si>
    <t xml:space="preserve">Cooperatives Europe</t>
  </si>
  <si>
    <t xml:space="preserve">https://coopseurope.coop/events/</t>
  </si>
  <si>
    <t xml:space="preserve">Copa-Cogeca</t>
  </si>
  <si>
    <t xml:space="preserve">https://copa-cogeca.eu/events</t>
  </si>
  <si>
    <t xml:space="preserve">CSR Europe</t>
  </si>
  <si>
    <t xml:space="preserve">Business network</t>
  </si>
  <si>
    <t xml:space="preserve">https://www.csreurope.org/events</t>
  </si>
  <si>
    <t xml:space="preserve">Cyber Security Coalition (BE)</t>
  </si>
  <si>
    <t xml:space="preserve">https://www.cybersecuritycoalition.be/events/</t>
  </si>
  <si>
    <t xml:space="preserve">Digital SME Alliance</t>
  </si>
  <si>
    <t xml:space="preserve">https://www.digitalsme.eu/events/</t>
  </si>
  <si>
    <t xml:space="preserve">DIGITALEUROPE</t>
  </si>
  <si>
    <t xml:space="preserve">https://www.digitaleurope.org/events/</t>
  </si>
  <si>
    <t xml:space="preserve">DOT Europe</t>
  </si>
  <si>
    <t xml:space="preserve">https://doteurope.eu/</t>
  </si>
  <si>
    <t xml:space="preserve">EBAA (Business Aviation)</t>
  </si>
  <si>
    <t xml:space="preserve">https://www.ebaa.org/events</t>
  </si>
  <si>
    <t xml:space="preserve">ECSA (Shipowners)</t>
  </si>
  <si>
    <t xml:space="preserve">https://ecsa.eu/ecsa-events/</t>
  </si>
  <si>
    <t xml:space="preserve">EDFA (Digital Finance Association)</t>
  </si>
  <si>
    <t xml:space="preserve">https://www.digitalfinancesummit.com/</t>
  </si>
  <si>
    <t xml:space="preserve">from The Bubble listing (EDFA = European Digital Finance Association)</t>
  </si>
  <si>
    <t xml:space="preserve">EFAMA</t>
  </si>
  <si>
    <t xml:space="preserve">https://www.efama.org/events</t>
  </si>
  <si>
    <t xml:space="preserve">EFPIA</t>
  </si>
  <si>
    <t xml:space="preserve">https://www.efpia.eu/news-events/events/</t>
  </si>
  <si>
    <t xml:space="preserve">EGEC (Geothermal)</t>
  </si>
  <si>
    <t xml:space="preserve">https://www.egec.org/events/</t>
  </si>
  <si>
    <t xml:space="preserve">Energy Storage Europe (EASE)</t>
  </si>
  <si>
    <t xml:space="preserve">https://ease-storage.eu/events/</t>
  </si>
  <si>
    <t xml:space="preserve">EPACA</t>
  </si>
  <si>
    <t xml:space="preserve">Professional association</t>
  </si>
  <si>
    <t xml:space="preserve">https://www.epaca.org/</t>
  </si>
  <si>
    <t xml:space="preserve">EPIF (Payment institutions)</t>
  </si>
  <si>
    <t xml:space="preserve">https://paymentinstitutions.eu/all-events/</t>
  </si>
  <si>
    <t xml:space="preserve">EREF (Renewable Energies Federation)</t>
  </si>
  <si>
    <t xml:space="preserve">https://eref-europe.org/events/category/events/</t>
  </si>
  <si>
    <t xml:space="preserve">ESBG / WSBI – Savings &amp; Retail Banks</t>
  </si>
  <si>
    <t xml:space="preserve">https://www.wsbi-esbg.org/events</t>
  </si>
  <si>
    <t xml:space="preserve">ETAF – European Tax Adviser Federation</t>
  </si>
  <si>
    <t xml:space="preserve">https://etaf.tax/conferences/</t>
  </si>
  <si>
    <t xml:space="preserve">ETSI</t>
  </si>
  <si>
    <t xml:space="preserve">https://www.etsi.org/events</t>
  </si>
  <si>
    <t xml:space="preserve">EU-Japan Centre for Industrial Cooperation</t>
  </si>
  <si>
    <t xml:space="preserve">Chamber/bilateral</t>
  </si>
  <si>
    <t xml:space="preserve">https://www.eu-japan.eu/events</t>
  </si>
  <si>
    <t xml:space="preserve">EU-Japan Institute (EUJI)</t>
  </si>
  <si>
    <t xml:space="preserve">https://www.linkedin.com/company/euji/</t>
  </si>
  <si>
    <t xml:space="preserve">EU-Latin Business Forum</t>
  </si>
  <si>
    <t xml:space="preserve">https://www.eulatinbusinessforum.eu/events</t>
  </si>
  <si>
    <t xml:space="preserve">Euratex</t>
  </si>
  <si>
    <t xml:space="preserve">https://euratex.eu/events/</t>
  </si>
  <si>
    <t xml:space="preserve">EurEau</t>
  </si>
  <si>
    <t xml:space="preserve">https://www.eureau.org/</t>
  </si>
  <si>
    <t xml:space="preserve">EUREC</t>
  </si>
  <si>
    <t xml:space="preserve">https://www.eurec.be/events/</t>
  </si>
  <si>
    <t xml:space="preserve">Eurelectric</t>
  </si>
  <si>
    <t xml:space="preserve">https://www.eurelectric.org/events/</t>
  </si>
  <si>
    <t xml:space="preserve">Eurochambres</t>
  </si>
  <si>
    <t xml:space="preserve">https://www.eurochambres.eu/events/</t>
  </si>
  <si>
    <t xml:space="preserve">EuroCommerce</t>
  </si>
  <si>
    <t xml:space="preserve">https://www.eurocommerce.eu/events/</t>
  </si>
  <si>
    <t xml:space="preserve">Eurofer</t>
  </si>
  <si>
    <t xml:space="preserve">https://www.eurofer.eu/events/</t>
  </si>
  <si>
    <t xml:space="preserve">Eurogas</t>
  </si>
  <si>
    <t xml:space="preserve">https://www.eurogas.org/events/</t>
  </si>
  <si>
    <t xml:space="preserve">Euroheat &amp; Power</t>
  </si>
  <si>
    <t xml:space="preserve">https://www.euroheat.org/events</t>
  </si>
  <si>
    <t xml:space="preserve">Eurometaux</t>
  </si>
  <si>
    <t xml:space="preserve">https://eurometaux.eu/events/</t>
  </si>
  <si>
    <t xml:space="preserve">Euromines</t>
  </si>
  <si>
    <t xml:space="preserve">https://euromines.org/events</t>
  </si>
  <si>
    <t xml:space="preserve">EuropaBio</t>
  </si>
  <si>
    <t xml:space="preserve">https://www.europabio.org/events/</t>
  </si>
  <si>
    <t xml:space="preserve">European Aluminium</t>
  </si>
  <si>
    <t xml:space="preserve">https://european-aluminium.eu/resource-hub/news-events/</t>
  </si>
  <si>
    <t xml:space="preserve">European Association of Urology</t>
  </si>
  <si>
    <t xml:space="preserve">https://uroweb.org/education-events/events</t>
  </si>
  <si>
    <t xml:space="preserve">European Banking Federation</t>
  </si>
  <si>
    <t xml:space="preserve">https://www.ebf.eu/events/</t>
  </si>
  <si>
    <t xml:space="preserve">European Biogas Association</t>
  </si>
  <si>
    <t xml:space="preserve">https://www.europeanbiogas.eu/events/</t>
  </si>
  <si>
    <t xml:space="preserve">European Entrepreneurs (CEA-PME)</t>
  </si>
  <si>
    <t xml:space="preserve">https://www.european-entrepreneurs.org/events</t>
  </si>
  <si>
    <t xml:space="preserve">European Justice Forum</t>
  </si>
  <si>
    <t xml:space="preserve">https://europeanjusticeforum.org/events/</t>
  </si>
  <si>
    <t xml:space="preserve">European Landowners' Organization</t>
  </si>
  <si>
    <t xml:space="preserve">https://europeanlandowners.org/events</t>
  </si>
  <si>
    <t xml:space="preserve">European Round Table for Industry (ERT)</t>
  </si>
  <si>
    <t xml:space="preserve">https://ert.eu/</t>
  </si>
  <si>
    <t xml:space="preserve">EUSTAFOR</t>
  </si>
  <si>
    <t xml:space="preserve">https://eustafor.eu/</t>
  </si>
  <si>
    <t xml:space="preserve">Fair Standards Alliance</t>
  </si>
  <si>
    <t xml:space="preserve">https://fair-standards.org/</t>
  </si>
  <si>
    <t xml:space="preserve">FEAD (Waste management)</t>
  </si>
  <si>
    <t xml:space="preserve">https://fead.be/events/</t>
  </si>
  <si>
    <t xml:space="preserve">FEBEA – Ethical &amp; Alternative Banks</t>
  </si>
  <si>
    <t xml:space="preserve">https://febea.org/</t>
  </si>
  <si>
    <t xml:space="preserve">FEFAC</t>
  </si>
  <si>
    <t xml:space="preserve">https://fefac.eu/newsroom/events/</t>
  </si>
  <si>
    <t xml:space="preserve">Fertilizers Europe</t>
  </si>
  <si>
    <t xml:space="preserve">https://www.fertilizerseurope.com/events/</t>
  </si>
  <si>
    <t xml:space="preserve">FESE (Stock exchanges)</t>
  </si>
  <si>
    <t xml:space="preserve">https://www.fese.eu/events/</t>
  </si>
  <si>
    <t xml:space="preserve">FIA Region 1</t>
  </si>
  <si>
    <t xml:space="preserve">https://www.fiaregion1.com/events/</t>
  </si>
  <si>
    <t xml:space="preserve">FIGIEFA</t>
  </si>
  <si>
    <t xml:space="preserve">https://www.figiefa.eu/en/events.html</t>
  </si>
  <si>
    <t xml:space="preserve">FoodDrinkEurope</t>
  </si>
  <si>
    <t xml:space="preserve">https://www.fooddrinkeurope.eu/events/</t>
  </si>
  <si>
    <t xml:space="preserve">FuelsEurope</t>
  </si>
  <si>
    <t xml:space="preserve">https://www.fuelseurope.eu/events</t>
  </si>
  <si>
    <t xml:space="preserve">GBBC (Global Blockchain Business Council)</t>
  </si>
  <si>
    <t xml:space="preserve">https://gbbc.io/events</t>
  </si>
  <si>
    <t xml:space="preserve">GDV (German Insurance Association)</t>
  </si>
  <si>
    <t xml:space="preserve">https://www.gdv.de/gdv-en</t>
  </si>
  <si>
    <t xml:space="preserve">GEODE</t>
  </si>
  <si>
    <t xml:space="preserve">https://www.geode-eu.org/events/</t>
  </si>
  <si>
    <t xml:space="preserve">GlobalPlatform</t>
  </si>
  <si>
    <t xml:space="preserve">https://globalplatform.org/events/</t>
  </si>
  <si>
    <t xml:space="preserve">GSMA Europe</t>
  </si>
  <si>
    <t xml:space="preserve">https://www.gsma.com/events/</t>
  </si>
  <si>
    <t xml:space="preserve">Hydrogen Europe</t>
  </si>
  <si>
    <t xml:space="preserve">https://hydrogeneurope.eu/events/</t>
  </si>
  <si>
    <t xml:space="preserve">IAB Europe</t>
  </si>
  <si>
    <t xml:space="preserve">https://iabeurope.eu/events/</t>
  </si>
  <si>
    <t xml:space="preserve">IATA</t>
  </si>
  <si>
    <t xml:space="preserve">https://www.iata.org/en/events/</t>
  </si>
  <si>
    <t xml:space="preserve">IFIEC Europe</t>
  </si>
  <si>
    <t xml:space="preserve">https://www.ifieceurope.org/</t>
  </si>
  <si>
    <t xml:space="preserve">Independent Retail Europe</t>
  </si>
  <si>
    <t xml:space="preserve">https://www.independentretaileurope.eu/</t>
  </si>
  <si>
    <t xml:space="preserve">Insurance Europe</t>
  </si>
  <si>
    <t xml:space="preserve">https://www.insuranceeurope.eu/events</t>
  </si>
  <si>
    <t xml:space="preserve">IOGP Europe</t>
  </si>
  <si>
    <t xml:space="preserve">https://iogpeurope.org/events/</t>
  </si>
  <si>
    <t xml:space="preserve">IP Europe</t>
  </si>
  <si>
    <t xml:space="preserve">https://ipeurope.org/events/</t>
  </si>
  <si>
    <t xml:space="preserve">IRU</t>
  </si>
  <si>
    <t xml:space="preserve">https://www.iru.org/events</t>
  </si>
  <si>
    <t xml:space="preserve">Lombardy Green Chemistry Association</t>
  </si>
  <si>
    <t xml:space="preserve">https://www.chimicaverdelombardia.it/</t>
  </si>
  <si>
    <t xml:space="preserve">Medef / Business France Brussels</t>
  </si>
  <si>
    <t xml:space="preserve">https://www.medef.com/</t>
  </si>
  <si>
    <t xml:space="preserve">Medicines for Europe</t>
  </si>
  <si>
    <t xml:space="preserve">https://www.medicinesforeurope.com/events/</t>
  </si>
  <si>
    <t xml:space="preserve">MedTech Europe</t>
  </si>
  <si>
    <t xml:space="preserve">https://www.medtecheurope.org/news-and-events/events/</t>
  </si>
  <si>
    <t xml:space="preserve">NBN (Belgian standardisation)</t>
  </si>
  <si>
    <t xml:space="preserve">https://www.nbn.be/nieuws/kalender</t>
  </si>
  <si>
    <t xml:space="preserve">Orgalim</t>
  </si>
  <si>
    <t xml:space="preserve">https://orgalim.eu/events</t>
  </si>
  <si>
    <t xml:space="preserve">PensionsEurope</t>
  </si>
  <si>
    <t xml:space="preserve">https://www.pensionseurope.eu/events</t>
  </si>
  <si>
    <t xml:space="preserve">Plastics Europe</t>
  </si>
  <si>
    <t xml:space="preserve">https://plasticseurope.org/events/</t>
  </si>
  <si>
    <t xml:space="preserve">Public Affairs Council (PAC Europe)</t>
  </si>
  <si>
    <t xml:space="preserve">https://pac.org/events</t>
  </si>
  <si>
    <t xml:space="preserve">Renewable Hydrogen Coalition</t>
  </si>
  <si>
    <t xml:space="preserve">https://renewableh2.eu/</t>
  </si>
  <si>
    <t xml:space="preserve">SEA-LNG</t>
  </si>
  <si>
    <t xml:space="preserve">https://sea-lng.org/</t>
  </si>
  <si>
    <t xml:space="preserve">SEAP (Society of European Affairs Professionals)</t>
  </si>
  <si>
    <t xml:space="preserve">https://seap.be/events/</t>
  </si>
  <si>
    <t xml:space="preserve">smartEn</t>
  </si>
  <si>
    <t xml:space="preserve">https://smarten.eu/events/</t>
  </si>
  <si>
    <t xml:space="preserve">SME Connect</t>
  </si>
  <si>
    <t xml:space="preserve">https://www.smeconnect.eu/events</t>
  </si>
  <si>
    <t xml:space="preserve">SME Europe</t>
  </si>
  <si>
    <t xml:space="preserve">Political/business</t>
  </si>
  <si>
    <t xml:space="preserve">https://www.smeeurope.eu/events/</t>
  </si>
  <si>
    <t xml:space="preserve">SMEunited</t>
  </si>
  <si>
    <t xml:space="preserve">https://www.smeunited.eu/events</t>
  </si>
  <si>
    <t xml:space="preserve">Solar Heat Europe</t>
  </si>
  <si>
    <t xml:space="preserve">https://solarheateurope.eu/events/</t>
  </si>
  <si>
    <t xml:space="preserve">SolarPower Europe</t>
  </si>
  <si>
    <t xml:space="preserve">https://www.solarpowereurope.org/events</t>
  </si>
  <si>
    <t xml:space="preserve">Startup &amp; scaleup community – Norrsken</t>
  </si>
  <si>
    <t xml:space="preserve">https://www.norrsken.org/</t>
  </si>
  <si>
    <t xml:space="preserve">UNIFE</t>
  </si>
  <si>
    <t xml:space="preserve">https://www.unife.org/events/</t>
  </si>
  <si>
    <t xml:space="preserve">Vaccines Europe</t>
  </si>
  <si>
    <t xml:space="preserve">https://www.vaccineseurope.eu/media-hub/events/</t>
  </si>
  <si>
    <t xml:space="preserve">Water Europe</t>
  </si>
  <si>
    <t xml:space="preserve">https://watereurope.eu/events/</t>
  </si>
  <si>
    <t xml:space="preserve">WindEurope</t>
  </si>
  <si>
    <t xml:space="preserve">https://windeurope.org/events/</t>
  </si>
  <si>
    <t xml:space="preserve">5 NGOs, civil society &amp; trade unions</t>
  </si>
  <si>
    <t xml:space="preserve">Access Now</t>
  </si>
  <si>
    <t xml:space="preserve">Civil society</t>
  </si>
  <si>
    <t xml:space="preserve">https://www.accessnow.org/events/</t>
  </si>
  <si>
    <t xml:space="preserve">AGE Platform Europe</t>
  </si>
  <si>
    <t xml:space="preserve">https://www.age-platform.eu/events/</t>
  </si>
  <si>
    <t xml:space="preserve">All.Can</t>
  </si>
  <si>
    <t xml:space="preserve">https://www.all-can.org/news/</t>
  </si>
  <si>
    <t xml:space="preserve">verified (events posted as news)</t>
  </si>
  <si>
    <t xml:space="preserve">Amnesty International EU Office</t>
  </si>
  <si>
    <t xml:space="preserve">https://www.amnesty.eu/</t>
  </si>
  <si>
    <t xml:space="preserve">ANEC (Consumer voice in standardisation)</t>
  </si>
  <si>
    <t xml:space="preserve">https://anec.eu/news-events/</t>
  </si>
  <si>
    <t xml:space="preserve">Bellona Europa</t>
  </si>
  <si>
    <t xml:space="preserve">https://eu.bellona.org/events/</t>
  </si>
  <si>
    <t xml:space="preserve">BETTER FINANCE</t>
  </si>
  <si>
    <t xml:space="preserve">https://betterfinance.eu/events/</t>
  </si>
  <si>
    <t xml:space="preserve">BEUC</t>
  </si>
  <si>
    <t xml:space="preserve">https://www.beuc.eu/events</t>
  </si>
  <si>
    <t xml:space="preserve">BirdLife Europe</t>
  </si>
  <si>
    <t xml:space="preserve">https://www.birdlife.org/europe-and-central-asia/</t>
  </si>
  <si>
    <t xml:space="preserve">CAN Europe</t>
  </si>
  <si>
    <t xml:space="preserve">https://caneurope.org/events/</t>
  </si>
  <si>
    <t xml:space="preserve">Carbon Gap</t>
  </si>
  <si>
    <t xml:space="preserve">https://carbongap.org/</t>
  </si>
  <si>
    <t xml:space="preserve">Carbon Market Watch</t>
  </si>
  <si>
    <t xml:space="preserve">https://carbonmarketwatch.org/events/</t>
  </si>
  <si>
    <t xml:space="preserve">https://civilsocietyeurope.eu/events/</t>
  </si>
  <si>
    <t xml:space="preserve">Clean Air Fund</t>
  </si>
  <si>
    <t xml:space="preserve">https://www.cleanairfund.org/events/</t>
  </si>
  <si>
    <t xml:space="preserve">ClientEarth</t>
  </si>
  <si>
    <t xml:space="preserve">https://www.clientearth.org/latest/events/</t>
  </si>
  <si>
    <t xml:space="preserve">CONCORD</t>
  </si>
  <si>
    <t xml:space="preserve">https://concordeurope.org/events/</t>
  </si>
  <si>
    <t xml:space="preserve">Cool Heating Coalition</t>
  </si>
  <si>
    <t xml:space="preserve">Coalition</t>
  </si>
  <si>
    <t xml:space="preserve">https://coolheatingcoalition.eu/event</t>
  </si>
  <si>
    <t xml:space="preserve">https://corporateeurope.org/en/events</t>
  </si>
  <si>
    <t xml:space="preserve">EAPN</t>
  </si>
  <si>
    <t xml:space="preserve">https://www.eapn.eu/events/</t>
  </si>
  <si>
    <t xml:space="preserve">ECOS (Environmental Coalition on Standards)</t>
  </si>
  <si>
    <t xml:space="preserve">https://ecostandard.org/news_events/</t>
  </si>
  <si>
    <t xml:space="preserve">ECRE</t>
  </si>
  <si>
    <t xml:space="preserve">https://ecre.org/events/</t>
  </si>
  <si>
    <t xml:space="preserve">EDRi</t>
  </si>
  <si>
    <t xml:space="preserve">https://edri.org/take-action/events/</t>
  </si>
  <si>
    <t xml:space="preserve">ENAR</t>
  </si>
  <si>
    <t xml:space="preserve">https://www.enar-eu.org/events/</t>
  </si>
  <si>
    <t xml:space="preserve">EPSU</t>
  </si>
  <si>
    <t xml:space="preserve">Trade union</t>
  </si>
  <si>
    <t xml:space="preserve">https://www.epsu.org/events</t>
  </si>
  <si>
    <t xml:space="preserve">Erasmus Student Network</t>
  </si>
  <si>
    <t xml:space="preserve">https://www.esn.org/</t>
  </si>
  <si>
    <t xml:space="preserve">ETUC</t>
  </si>
  <si>
    <t xml:space="preserve">https://www.etuc.org/en/events</t>
  </si>
  <si>
    <t xml:space="preserve">ETUI</t>
  </si>
  <si>
    <t xml:space="preserve">Trade union research</t>
  </si>
  <si>
    <t xml:space="preserve">https://www.etui.org/events</t>
  </si>
  <si>
    <t xml:space="preserve">Eurochild</t>
  </si>
  <si>
    <t xml:space="preserve">https://eurochild.org/events/</t>
  </si>
  <si>
    <t xml:space="preserve">Euroconsumers</t>
  </si>
  <si>
    <t xml:space="preserve">https://www.euroconsumers.org/events</t>
  </si>
  <si>
    <t xml:space="preserve">Eurodad</t>
  </si>
  <si>
    <t xml:space="preserve">https://www.eurodad.org/</t>
  </si>
  <si>
    <t xml:space="preserve">Eurogroup for Animals</t>
  </si>
  <si>
    <t xml:space="preserve">https://www.eurogroupforanimals.org/events</t>
  </si>
  <si>
    <t xml:space="preserve">EuroHealthNet</t>
  </si>
  <si>
    <t xml:space="preserve">https://eurohealthnet.eu/events/</t>
  </si>
  <si>
    <t xml:space="preserve">European Cancer Forum</t>
  </si>
  <si>
    <t xml:space="preserve">https://europeancancerforum.eu/</t>
  </si>
  <si>
    <t xml:space="preserve">European Cancer Organisation</t>
  </si>
  <si>
    <t xml:space="preserve">https://www.europeancancer.org/events</t>
  </si>
  <si>
    <t xml:space="preserve">European Cyclists' Federation</t>
  </si>
  <si>
    <t xml:space="preserve">https://ecf.com/events</t>
  </si>
  <si>
    <t xml:space="preserve">European Disability Forum</t>
  </si>
  <si>
    <t xml:space="preserve">https://www.edf-feph.org/events/</t>
  </si>
  <si>
    <t xml:space="preserve">European Environmental Bureau (EEB)</t>
  </si>
  <si>
    <t xml:space="preserve">https://eeb.org/events/</t>
  </si>
  <si>
    <t xml:space="preserve">European Microfinance Network</t>
  </si>
  <si>
    <t xml:space="preserve">https://www.european-microfinance.org/events</t>
  </si>
  <si>
    <t xml:space="preserve">European Movement International</t>
  </si>
  <si>
    <t xml:space="preserve">https://europeanmovement.eu/events/</t>
  </si>
  <si>
    <t xml:space="preserve">European Patients' Forum</t>
  </si>
  <si>
    <t xml:space="preserve">https://www.eu-patient.eu/events/</t>
  </si>
  <si>
    <t xml:space="preserve">European Public Health Alliance (EPHA)</t>
  </si>
  <si>
    <t xml:space="preserve">https://epha.org/events/</t>
  </si>
  <si>
    <t xml:space="preserve">European Women's Lobby</t>
  </si>
  <si>
    <t xml:space="preserve">https://womenlobby.org/events-news/</t>
  </si>
  <si>
    <t xml:space="preserve">European Youth Forum</t>
  </si>
  <si>
    <t xml:space="preserve">https://www.youthforum.org/events</t>
  </si>
  <si>
    <t xml:space="preserve">European Youth Parliament</t>
  </si>
  <si>
    <t xml:space="preserve">https://eyp.org/</t>
  </si>
  <si>
    <t xml:space="preserve">EURORDIS</t>
  </si>
  <si>
    <t xml:space="preserve">https://www.eurordis.org/category/events/</t>
  </si>
  <si>
    <t xml:space="preserve">FEBA (Food Banks)</t>
  </si>
  <si>
    <t xml:space="preserve">https://www.eurofoodbank.org/events/</t>
  </si>
  <si>
    <t xml:space="preserve">FIDE (Foundation for International Development of Democracy)</t>
  </si>
  <si>
    <t xml:space="preserve">https://fidemocracy.org/</t>
  </si>
  <si>
    <t xml:space="preserve">Finance Watch</t>
  </si>
  <si>
    <t xml:space="preserve">https://www.finance-watch.org/events/</t>
  </si>
  <si>
    <t xml:space="preserve">Finnova</t>
  </si>
  <si>
    <t xml:space="preserve">Foundation</t>
  </si>
  <si>
    <t xml:space="preserve">https://finnova.eu/</t>
  </si>
  <si>
    <t xml:space="preserve">Friends of the Earth Europe</t>
  </si>
  <si>
    <t xml:space="preserve">https://friendsoftheearth.eu/</t>
  </si>
  <si>
    <t xml:space="preserve">Global Rights Compliance</t>
  </si>
  <si>
    <t xml:space="preserve">https://globalrightscompliance.org/events/</t>
  </si>
  <si>
    <t xml:space="preserve">Greenpeace EU</t>
  </si>
  <si>
    <t xml:space="preserve">https://www.greenpeace.org/eu-unit/</t>
  </si>
  <si>
    <t xml:space="preserve">GSTC</t>
  </si>
  <si>
    <t xml:space="preserve">https://www.gstc.org/events/upcoming-events/</t>
  </si>
  <si>
    <t xml:space="preserve">Housing Europe</t>
  </si>
  <si>
    <t xml:space="preserve">https://www.housingeurope.eu/events</t>
  </si>
  <si>
    <t xml:space="preserve">Human Rights Watch</t>
  </si>
  <si>
    <t xml:space="preserve">https://www.hrw.org/events</t>
  </si>
  <si>
    <t xml:space="preserve">IFOAM Organics Europe</t>
  </si>
  <si>
    <t xml:space="preserve">https://www.organicseurope.bio/events/</t>
  </si>
  <si>
    <t xml:space="preserve">ILGA-Europe</t>
  </si>
  <si>
    <t xml:space="preserve">https://www.ilga-europe.org/annual-conference-2026/</t>
  </si>
  <si>
    <t xml:space="preserve">verified (annual conference page)</t>
  </si>
  <si>
    <t xml:space="preserve">industriAll Europe</t>
  </si>
  <si>
    <t xml:space="preserve">https://agenda.industriall-europe.eu/calendar</t>
  </si>
  <si>
    <t xml:space="preserve">Liberties (Civil Liberties Union for Europe)</t>
  </si>
  <si>
    <t xml:space="preserve">https://www.liberties.eu/en</t>
  </si>
  <si>
    <t xml:space="preserve">Network of European Foundations (NEF)</t>
  </si>
  <si>
    <t xml:space="preserve">Foundation network</t>
  </si>
  <si>
    <t xml:space="preserve">https://www.nef-europe.org/</t>
  </si>
  <si>
    <t xml:space="preserve">from The Bubble listing</t>
  </si>
  <si>
    <t xml:space="preserve">ONE Campaign Europe</t>
  </si>
  <si>
    <t xml:space="preserve">https://www.one.org/</t>
  </si>
  <si>
    <t xml:space="preserve">Oxfam EU</t>
  </si>
  <si>
    <t xml:space="preserve">https://www.oxfam.org/en/europe</t>
  </si>
  <si>
    <t xml:space="preserve">PICUM (Undocumented Migrants)</t>
  </si>
  <si>
    <t xml:space="preserve">https://picum.org/events/</t>
  </si>
  <si>
    <t xml:space="preserve">RESCOOP.eu</t>
  </si>
  <si>
    <t xml:space="preserve">https://www.rescoop.eu/news-and-events/events</t>
  </si>
  <si>
    <t xml:space="preserve">Save the Children EU</t>
  </si>
  <si>
    <t xml:space="preserve">https://www.savethechildren.net/</t>
  </si>
  <si>
    <t xml:space="preserve">Seas At Risk</t>
  </si>
  <si>
    <t xml:space="preserve">https://seas-at-risk.org/events/</t>
  </si>
  <si>
    <t xml:space="preserve">Slow Food Europe</t>
  </si>
  <si>
    <t xml:space="preserve">https://www.slowfood.com/events/</t>
  </si>
  <si>
    <t xml:space="preserve">Social Platform</t>
  </si>
  <si>
    <t xml:space="preserve">https://www.socialplatform.org/events/</t>
  </si>
  <si>
    <t xml:space="preserve">The Good Lobby</t>
  </si>
  <si>
    <t xml:space="preserve">https://thegoodlobby.eu/category/events/</t>
  </si>
  <si>
    <t xml:space="preserve">https://transparency.eu/events/</t>
  </si>
  <si>
    <t xml:space="preserve">Transport &amp; Environment</t>
  </si>
  <si>
    <t xml:space="preserve">https://www.transportenvironment.org/events</t>
  </si>
  <si>
    <t xml:space="preserve">UNI Europa</t>
  </si>
  <si>
    <t xml:space="preserve">https://www.uni-europa.org/meetings/</t>
  </si>
  <si>
    <t xml:space="preserve">Union of European Federalists</t>
  </si>
  <si>
    <t xml:space="preserve">https://federalists.eu/events/</t>
  </si>
  <si>
    <t xml:space="preserve">WWF European Policy Office</t>
  </si>
  <si>
    <t xml:space="preserve">https://www.wwf.eu/wwf_news/events/</t>
  </si>
  <si>
    <t xml:space="preserve">Young European Federalists (JEF)</t>
  </si>
  <si>
    <t xml:space="preserve">https://jef.eu/events/</t>
  </si>
  <si>
    <t xml:space="preserve">Zero Waste Europe</t>
  </si>
  <si>
    <t xml:space="preserve">https://zerowasteeurope.eu/events/</t>
  </si>
  <si>
    <t xml:space="preserve">6 City/regional networks, regional offices &amp; national reps</t>
  </si>
  <si>
    <t xml:space="preserve">Bavarian Representation to the EU</t>
  </si>
  <si>
    <t xml:space="preserve">Regional office</t>
  </si>
  <si>
    <t xml:space="preserve">https://www.bayern.de/staatskanzlei/bayerns-vertretung-bei-der-eu/</t>
  </si>
  <si>
    <t xml:space="preserve">CEMR (Council of European Municipalities &amp; Regions)</t>
  </si>
  <si>
    <t xml:space="preserve">Network</t>
  </si>
  <si>
    <t xml:space="preserve">https://ccre-cemr.org/calendar</t>
  </si>
  <si>
    <t xml:space="preserve">Climate Alliance</t>
  </si>
  <si>
    <t xml:space="preserve">https://www.climatealliance.org/news-events/</t>
  </si>
  <si>
    <t xml:space="preserve">CPMR</t>
  </si>
  <si>
    <t xml:space="preserve">https://cpmr.org/events/</t>
  </si>
  <si>
    <t xml:space="preserve">Delegation of Catalonia to the EU</t>
  </si>
  <si>
    <t xml:space="preserve">https://exteriors.gencat.cat/en/ambits-dactuacio/afers-exteriors/delegacions-govern/ue/</t>
  </si>
  <si>
    <t xml:space="preserve">ENDR – European Network of Defence-related Regions</t>
  </si>
  <si>
    <t xml:space="preserve">https://endr.eu/</t>
  </si>
  <si>
    <t xml:space="preserve">added from Agence Europe Calendar Extra – site error during check</t>
  </si>
  <si>
    <t xml:space="preserve">Energy Cities</t>
  </si>
  <si>
    <t xml:space="preserve">https://energy-cities.eu/events/</t>
  </si>
  <si>
    <t xml:space="preserve">EURASHE</t>
  </si>
  <si>
    <t xml:space="preserve">https://www.eurashe.eu/events/</t>
  </si>
  <si>
    <t xml:space="preserve">Eurocities</t>
  </si>
  <si>
    <t xml:space="preserve">https://eurocities.eu/events/</t>
  </si>
  <si>
    <t xml:space="preserve">European Social Network (ESN)</t>
  </si>
  <si>
    <t xml:space="preserve">https://www.esn-eu.org/events</t>
  </si>
  <si>
    <t xml:space="preserve">Flanders – Representation to the EU</t>
  </si>
  <si>
    <t xml:space="preserve">https://www.vlaanderen.be/en/authorities/flanders-and-the-eu</t>
  </si>
  <si>
    <t xml:space="preserve">Hesse Representation to the EU</t>
  </si>
  <si>
    <t xml:space="preserve">https://staatskanzlei.hessen.de/</t>
  </si>
  <si>
    <t xml:space="preserve">corrected via web search (site section / homepage) · events announced via veranstaltungen@lv-bruessel.hessen.de (per Agence Europe)</t>
  </si>
  <si>
    <t xml:space="preserve">ICLEI Europe</t>
  </si>
  <si>
    <t xml:space="preserve">https://iclei-europe.org/events/</t>
  </si>
  <si>
    <t xml:space="preserve">Permanent Representation of France</t>
  </si>
  <si>
    <t xml:space="preserve">Permanent representation</t>
  </si>
  <si>
    <t xml:space="preserve">https://ue.delegfrance.org/</t>
  </si>
  <si>
    <t xml:space="preserve">Permanent Representation of Germany</t>
  </si>
  <si>
    <t xml:space="preserve">https://bruessel-eu.diplo.de/</t>
  </si>
  <si>
    <t xml:space="preserve">Permanent Representation of Ireland</t>
  </si>
  <si>
    <t xml:space="preserve">https://www.ireland.ie/en/eu/brussels/</t>
  </si>
  <si>
    <t xml:space="preserve">Permanent Representation of Italy</t>
  </si>
  <si>
    <t xml:space="preserve">https://italiaue.esteri.it/</t>
  </si>
  <si>
    <t xml:space="preserve">Permanent Representation of Poland to the EU</t>
  </si>
  <si>
    <t xml:space="preserve">https://www.gov.pl/web/eu</t>
  </si>
  <si>
    <t xml:space="preserve">Permanent Representation of the Netherlands</t>
  </si>
  <si>
    <t xml:space="preserve">https://www.netherlandsandyou.nl/web/pr-eu-brussels</t>
  </si>
  <si>
    <t xml:space="preserve">Region Skåne / Swedish regions (South Sweden)</t>
  </si>
  <si>
    <t xml:space="preserve">https://www.southsweden.eu/</t>
  </si>
  <si>
    <t xml:space="preserve">Representation of Baden-Württemberg to the EU</t>
  </si>
  <si>
    <t xml:space="preserve">https://stm.baden-wuerttemberg.de/de/ministerium/landesvertretung-bruessel/</t>
  </si>
  <si>
    <t xml:space="preserve">Representation of North Rhine-Westphalia to the EU</t>
  </si>
  <si>
    <t xml:space="preserve">https://www.land.nrw/landesvertretung-bruessel</t>
  </si>
  <si>
    <t xml:space="preserve">Scotland House Brussels</t>
  </si>
  <si>
    <t xml:space="preserve">https://www.scotlandhouse.eu/</t>
  </si>
  <si>
    <t xml:space="preserve">Social Economy Europe</t>
  </si>
  <si>
    <t xml:space="preserve">https://www.socialeconomy.eu.org/events/</t>
  </si>
  <si>
    <t xml:space="preserve">7 Companies, consultancies &amp; agencies</t>
  </si>
  <si>
    <t xml:space="preserve">Booking.com</t>
  </si>
  <si>
    <t xml:space="preserve">Company</t>
  </si>
  <si>
    <t xml:space="preserve">https://www.booking.com/</t>
  </si>
  <si>
    <t xml:space="preserve">Carbon Trust</t>
  </si>
  <si>
    <t xml:space="preserve">Consultancy</t>
  </si>
  <si>
    <t xml:space="preserve">https://www.carbontrust.com/news-and-insights/events</t>
  </si>
  <si>
    <t xml:space="preserve">Edenred</t>
  </si>
  <si>
    <t xml:space="preserve">https://www.edenred.be/</t>
  </si>
  <si>
    <t xml:space="preserve">Eunomia</t>
  </si>
  <si>
    <t xml:space="preserve">https://eunomia.eco/events/</t>
  </si>
  <si>
    <t xml:space="preserve">Google (Brussels events / Atelier)</t>
  </si>
  <si>
    <t xml:space="preserve">https://rsvp.withgoogle.com/</t>
  </si>
  <si>
    <t xml:space="preserve">Heineken</t>
  </si>
  <si>
    <t xml:space="preserve">https://www.theheinekencompany.com/</t>
  </si>
  <si>
    <t xml:space="preserve">corporate host – events usually via media partners (e.g. POLITICO)</t>
  </si>
  <si>
    <t xml:space="preserve">Incisive Health</t>
  </si>
  <si>
    <t xml:space="preserve">Agency</t>
  </si>
  <si>
    <t xml:space="preserve">https://www.incisivehealth.com/</t>
  </si>
  <si>
    <t xml:space="preserve">Meta – Brussels</t>
  </si>
  <si>
    <t xml:space="preserve">https://about.fb.com/europe/</t>
  </si>
  <si>
    <t xml:space="preserve">Microsoft – Brussels</t>
  </si>
  <si>
    <t xml:space="preserve">https://blogs.microsoft.com/eupolicy/microsoft-center-brussels/</t>
  </si>
  <si>
    <t xml:space="preserve">Moylan Communications</t>
  </si>
  <si>
    <t xml:space="preserve">https://www.moylancommunications.com/</t>
  </si>
  <si>
    <t xml:space="preserve">Partisan</t>
  </si>
  <si>
    <t xml:space="preserve">https://www.partisan.be/</t>
  </si>
  <si>
    <t xml:space="preserve">PepsiCo</t>
  </si>
  <si>
    <t xml:space="preserve">https://www.pepsico.com/</t>
  </si>
  <si>
    <t xml:space="preserve">Pexapark</t>
  </si>
  <si>
    <t xml:space="preserve">https://pexapark.com/events/</t>
  </si>
  <si>
    <t xml:space="preserve">Publyon</t>
  </si>
  <si>
    <t xml:space="preserve">https://www.publyon.com/</t>
  </si>
  <si>
    <t xml:space="preserve">8 Media, event organisers &amp; forums</t>
  </si>
  <si>
    <t xml:space="preserve">Media</t>
  </si>
  <si>
    <t xml:space="preserve">verified (free Calendar Extra)</t>
  </si>
  <si>
    <t xml:space="preserve">Brussels Climate Week</t>
  </si>
  <si>
    <t xml:space="preserve">Event organiser</t>
  </si>
  <si>
    <t xml:space="preserve">https://brusselsclimateweek.com/events/</t>
  </si>
  <si>
    <t xml:space="preserve">Brussels Press Club</t>
  </si>
  <si>
    <t xml:space="preserve">https://www.pressclub.be/events/</t>
  </si>
  <si>
    <t xml:space="preserve">Brussels Times (events listing)</t>
  </si>
  <si>
    <t xml:space="preserve">Concurrences</t>
  </si>
  <si>
    <t xml:space="preserve">Event organiser (law)</t>
  </si>
  <si>
    <t xml:space="preserve">https://www.concurrences.com/en/events/</t>
  </si>
  <si>
    <t xml:space="preserve">EPFSF (European Parliamentary Financial Services Forum)</t>
  </si>
  <si>
    <t xml:space="preserve">Parliamentary forum</t>
  </si>
  <si>
    <t xml:space="preserve">https://epfsf.org/events/</t>
  </si>
  <si>
    <t xml:space="preserve">Media/events</t>
  </si>
  <si>
    <t xml:space="preserve">Euractiv</t>
  </si>
  <si>
    <t xml:space="preserve">https://events.euractiv.com/</t>
  </si>
  <si>
    <t xml:space="preserve">verified – Euractiv events now redirect to Rapporteur’s event platform</t>
  </si>
  <si>
    <t xml:space="preserve">Euronews</t>
  </si>
  <si>
    <t xml:space="preserve">https://events.euronews.com/events</t>
  </si>
  <si>
    <t xml:space="preserve">European Business Summits</t>
  </si>
  <si>
    <t xml:space="preserve">https://ebsummits.eu/</t>
  </si>
  <si>
    <t xml:space="preserve">verified (event organiser site)</t>
  </si>
  <si>
    <t xml:space="preserve">European Defence &amp; Security Conference</t>
  </si>
  <si>
    <t xml:space="preserve">https://defencesecurityconference.eu/</t>
  </si>
  <si>
    <t xml:space="preserve">European Energy Forum</t>
  </si>
  <si>
    <t xml:space="preserve">https://www.europeanenergyforum.eu/</t>
  </si>
  <si>
    <t xml:space="preserve">European Food Forum</t>
  </si>
  <si>
    <t xml:space="preserve">Platform</t>
  </si>
  <si>
    <t xml:space="preserve">https://www.europeanfoodforum.eu/event-list</t>
  </si>
  <si>
    <t xml:space="preserve">European Internet Forum</t>
  </si>
  <si>
    <t xml:space="preserve">https://www.internetforum.eu/events/events.html</t>
  </si>
  <si>
    <t xml:space="preserve">European Parliament Intergroups (official list)</t>
  </si>
  <si>
    <t xml:space="preserve">Financial Times Live</t>
  </si>
  <si>
    <t xml:space="preserve">https://events.ft.com/events-list</t>
  </si>
  <si>
    <t xml:space="preserve">Forum Europe</t>
  </si>
  <si>
    <t xml:space="preserve">https://forum-europe.com/events</t>
  </si>
  <si>
    <t xml:space="preserve">Forum for the Future of Agriculture</t>
  </si>
  <si>
    <t xml:space="preserve">https://forumforag.com/events</t>
  </si>
  <si>
    <t xml:space="preserve">Global Tourism Forum</t>
  </si>
  <si>
    <t xml:space="preserve">https://buscardini.eu/events/</t>
  </si>
  <si>
    <t xml:space="preserve">Healthcare Chain / Health Policy Platform</t>
  </si>
  <si>
    <t xml:space="preserve">https://health.ec.europa.eu/eu-health-policy/interest-groups/eu-health-policy-platform_en</t>
  </si>
  <si>
    <t xml:space="preserve">Kangaroo Group</t>
  </si>
  <si>
    <t xml:space="preserve">https://www.kangaroogroup.eu/</t>
  </si>
  <si>
    <t xml:space="preserve">Lexxion</t>
  </si>
  <si>
    <t xml:space="preserve">https://www.lexxion.eu/en/events/</t>
  </si>
  <si>
    <t xml:space="preserve">https://www.politico.eu/politico-events/</t>
  </si>
  <si>
    <t xml:space="preserve">PubAffairs Bruxelles</t>
  </si>
  <si>
    <t xml:space="preserve">Public Affairs Summit</t>
  </si>
  <si>
    <t xml:space="preserve">https://www.public-affairs-summit.eu/</t>
  </si>
  <si>
    <t xml:space="preserve">Résidence Palace (International Press Centre) – press breakfasts</t>
  </si>
  <si>
    <t xml:space="preserve">https://www.residencepalace.be/</t>
  </si>
  <si>
    <t xml:space="preserve">Science|Business</t>
  </si>
  <si>
    <t xml:space="preserve">https://sciencebusiness.net/events</t>
  </si>
  <si>
    <t xml:space="preserve">Sustainable IT Days</t>
  </si>
  <si>
    <t xml:space="preserve">https://brussels.sustainableitdays.org/</t>
  </si>
  <si>
    <t xml:space="preserve">The Parliament Magazine</t>
  </si>
  <si>
    <t xml:space="preserve">https://events.theparliamentmagazine.eu/</t>
  </si>
  <si>
    <t xml:space="preserve">9 Networking communities</t>
  </si>
  <si>
    <t xml:space="preserve">Brussels AGI Collective</t>
  </si>
  <si>
    <t xml:space="preserve">Community</t>
  </si>
  <si>
    <t xml:space="preserve">community events platform – search "Brussels"</t>
  </si>
  <si>
    <t xml:space="preserve">Brussels Financial Apéro</t>
  </si>
  <si>
    <t xml:space="preserve">Brussels Sustainability Club</t>
  </si>
  <si>
    <t xml:space="preserve">https://brusselssustainabilityclub.eu/</t>
  </si>
  <si>
    <t xml:space="preserve">Empower-EU</t>
  </si>
  <si>
    <t xml:space="preserve">https://empower-eu.org/</t>
  </si>
  <si>
    <t xml:space="preserve">EU&amp;U</t>
  </si>
  <si>
    <t xml:space="preserve">https://www.linkedin.com/company/eu-u/</t>
  </si>
  <si>
    <t xml:space="preserve">UNYA Brussels</t>
  </si>
  <si>
    <t xml:space="preserve">https://www.unya.be/</t>
  </si>
  <si>
    <t xml:space="preserve">Women in International Security Brussels</t>
  </si>
  <si>
    <t xml:space="preserve">https://wiisbrussels.org/</t>
  </si>
  <si>
    <t xml:space="preserve">YATA Belgium</t>
  </si>
  <si>
    <t xml:space="preserve">https://www.yatabelgium.org/</t>
  </si>
  <si>
    <t xml:space="preserve">Young European Leadership</t>
  </si>
  <si>
    <t xml:space="preserve">https://youngeuropeanleadership.eu/</t>
  </si>
  <si>
    <t xml:space="preserve">10 International organisations</t>
  </si>
  <si>
    <t xml:space="preserve">Eurocontrol</t>
  </si>
  <si>
    <t xml:space="preserve">International org</t>
  </si>
  <si>
    <t xml:space="preserve">https://www.eurocontrol.int/events</t>
  </si>
  <si>
    <t xml:space="preserve">European Observatory on Health Systems and Policies</t>
  </si>
  <si>
    <t xml:space="preserve">https://eurohealthobservatory.who.int/about-us/events</t>
  </si>
  <si>
    <t xml:space="preserve">European Space Agency (ESA)</t>
  </si>
  <si>
    <t xml:space="preserve">https://www.esa.int/</t>
  </si>
  <si>
    <t xml:space="preserve">IMF Europe office</t>
  </si>
  <si>
    <t xml:space="preserve">https://www.imf.org/en/News/SearchNews#sort=%40imfdate%20descending</t>
  </si>
  <si>
    <t xml:space="preserve">IUCN European Regional Office</t>
  </si>
  <si>
    <t xml:space="preserve">https://iucn.org/events</t>
  </si>
  <si>
    <t xml:space="preserve">NATO (public events)</t>
  </si>
  <si>
    <t xml:space="preserve">https://www.nato.int/en/news-and-events/events</t>
  </si>
  <si>
    <t xml:space="preserve">OECD</t>
  </si>
  <si>
    <t xml:space="preserve">https://www.oecd-events.org/en/events</t>
  </si>
  <si>
    <t xml:space="preserve">UN House Brussels / UN in Brussels</t>
  </si>
  <si>
    <t xml:space="preserve">https://unric.org/en/</t>
  </si>
  <si>
    <t xml:space="preserve">UNESCO Liaison Office Brussels</t>
  </si>
  <si>
    <t xml:space="preserve">https://www.unesco.org/en/fieldoffice/brussels</t>
  </si>
  <si>
    <t xml:space="preserve">WHO/Europe</t>
  </si>
  <si>
    <t xml:space="preserve">https://www.who.int/europe/news-room/events</t>
  </si>
  <si>
    <t xml:space="preserve">World Bank Brussels</t>
  </si>
  <si>
    <t xml:space="preserve">https://www.worldbank.org/en/events</t>
  </si>
  <si>
    <t xml:space="preserve">11 EU-funded projects &amp; programmes</t>
  </si>
  <si>
    <t xml:space="preserve">Blue Adapt</t>
  </si>
  <si>
    <t xml:space="preserve">EU project</t>
  </si>
  <si>
    <t xml:space="preserve">https://blueadapt.eu/</t>
  </si>
  <si>
    <t xml:space="preserve">CARINA project</t>
  </si>
  <si>
    <t xml:space="preserve">https://www.carina-project.eu/events</t>
  </si>
  <si>
    <t xml:space="preserve">Circular Invest</t>
  </si>
  <si>
    <t xml:space="preserve">https://www.circularinvest.eu/</t>
  </si>
  <si>
    <t xml:space="preserve">CODECS project</t>
  </si>
  <si>
    <t xml:space="preserve">https://www.horizoncodecs.eu/events/</t>
  </si>
  <si>
    <t xml:space="preserve">Cultivate project</t>
  </si>
  <si>
    <t xml:space="preserve">https://cultivate-project.eu/events/</t>
  </si>
  <si>
    <t xml:space="preserve">Digital4Sustainability</t>
  </si>
  <si>
    <t xml:space="preserve">https://digital4sustainability.eu/news-events/</t>
  </si>
  <si>
    <t xml:space="preserve">FEASTS project (cultured meat &amp; seafood)</t>
  </si>
  <si>
    <t xml:space="preserve">https://feasts-project.eu/</t>
  </si>
  <si>
    <t xml:space="preserve">GigaGreen</t>
  </si>
  <si>
    <t xml:space="preserve">https://www.gigagreen-project.eu/</t>
  </si>
  <si>
    <t xml:space="preserve">IMPAC3T-IP</t>
  </si>
  <si>
    <t xml:space="preserve">https://www.impac3tip.eu/events</t>
  </si>
  <si>
    <t xml:space="preserve">Interreg Italia-France Marittimo</t>
  </si>
  <si>
    <t xml:space="preserve">EU programme</t>
  </si>
  <si>
    <t xml:space="preserve">https://interreg-maritime.eu/</t>
  </si>
  <si>
    <t xml:space="preserve">JustReno</t>
  </si>
  <si>
    <t xml:space="preserve">https://justreno.eu/</t>
  </si>
  <si>
    <t xml:space="preserve">LandSeaLot</t>
  </si>
  <si>
    <t xml:space="preserve">https://landsealot.eu/upcoming-past-events/</t>
  </si>
  <si>
    <t xml:space="preserve">METEOR (EuroHealthNet)</t>
  </si>
  <si>
    <t xml:space="preserve">NGI Commons</t>
  </si>
  <si>
    <t xml:space="preserve">https://commons.ngi.eu/events/</t>
  </si>
  <si>
    <t xml:space="preserve">Ocean-ICE</t>
  </si>
  <si>
    <t xml:space="preserve">https://ocean-ice.eu/events/</t>
  </si>
  <si>
    <t xml:space="preserve">PINK project</t>
  </si>
  <si>
    <t xml:space="preserve">https://pink-project.eu/pink-meetings-events/pink-public-events/</t>
  </si>
  <si>
    <t xml:space="preserve">trans4num project</t>
  </si>
  <si>
    <t xml:space="preserve">https://trans4num.eu/</t>
  </si>
  <si>
    <t xml:space="preserve">UrbanByNature</t>
  </si>
  <si>
    <t xml:space="preserve">https://urbanbynature.eu/events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</si>
</sst>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ec.europa.eu/transparencyinitiative/meetings/" TargetMode="External"/><Relationship Id="rId2" Type="http://schemas.openxmlformats.org/officeDocument/2006/relationships/hyperlink" Target="https://transparency-register.europa.eu/find-out-more/news/important-commission-adopts-new-transparency-measures-2024-12-12_en" TargetMode="External"/><Relationship Id="rId3" Type="http://schemas.openxmlformats.org/officeDocument/2006/relationships/hyperlink" Target="https://commission.europa.eu/about/organisation/college-commissioners/individual-calendars-president-and-commissioners_en" TargetMode="External"/><Relationship Id="rId4" Type="http://schemas.openxmlformats.org/officeDocument/2006/relationships/hyperlink" Target="https://commission.europa.eu/strategy-and-policy/decision-making-process-commission/decision-making-during-weekly-meetings_en" TargetMode="External"/><Relationship Id="rId5" Type="http://schemas.openxmlformats.org/officeDocument/2006/relationships/hyperlink" Target="https://ec.europa.eu/transparency/expert-groups-register/" TargetMode="External"/><Relationship Id="rId6" Type="http://schemas.openxmlformats.org/officeDocument/2006/relationships/hyperlink" Target="https://ec.europa.eu/transparency/comitology-register/" TargetMode="External"/><Relationship Id="rId7" Type="http://schemas.openxmlformats.org/officeDocument/2006/relationships/hyperlink" Target="https://ec.europa.eu/transparency/documents-register/" TargetMode="External"/><Relationship Id="rId8" Type="http://schemas.openxmlformats.org/officeDocument/2006/relationships/hyperlink" Target="https://ec.europa.eu/info/law/better-regulation/have-your-say_en" TargetMode="External"/><Relationship Id="rId9" Type="http://schemas.openxmlformats.org/officeDocument/2006/relationships/hyperlink" Target="https://eismea.ec.europa.eu/eismea-transparency-register_en" TargetMode="External"/><Relationship Id="rId10" Type="http://schemas.openxmlformats.org/officeDocument/2006/relationships/hyperlink" Target="https://transparency-register.europa.eu/searchregister-or-update/search-register_en" TargetMode="External"/><Relationship Id="rId11" Type="http://schemas.openxmlformats.org/officeDocument/2006/relationships/hyperlink" Target="https://transparency-register.europa.eu/conditions-contacts-eu-institutions_en" TargetMode="External"/><Relationship Id="rId12" Type="http://schemas.openxmlformats.org/officeDocument/2006/relationships/hyperlink" Target="https://data.europa.eu/data/datasets/transparency-register" TargetMode="External"/><Relationship Id="rId13" Type="http://schemas.openxmlformats.org/officeDocument/2006/relationships/hyperlink" Target="https://www.europarl.europa.eu/meps/en/home" TargetMode="External"/><Relationship Id="rId14" Type="http://schemas.openxmlformats.org/officeDocument/2006/relationships/hyperlink" Target="https://oeil.europarl.europa.eu/oeil/en" TargetMode="External"/><Relationship Id="rId15" Type="http://schemas.openxmlformats.org/officeDocument/2006/relationships/hyperlink" Target="https://www.europarl.europa.eu/meps/en/about/groupings" TargetMode="External"/><Relationship Id="rId16" Type="http://schemas.openxmlformats.org/officeDocument/2006/relationships/hyperlink" Target="https://emeeting.europarl.europa.eu/emeeting/committee/en/agenda" TargetMode="External"/><Relationship Id="rId17" Type="http://schemas.openxmlformats.org/officeDocument/2006/relationships/hyperlink" Target="https://www.europarl.europa.eu/plenary/en/home.html" TargetMode="External"/><Relationship Id="rId18" Type="http://schemas.openxmlformats.org/officeDocument/2006/relationships/hyperlink" Target="https://www.europarl.europa.eu/legislative-train/" TargetMode="External"/><Relationship Id="rId19" Type="http://schemas.openxmlformats.org/officeDocument/2006/relationships/hyperlink" Target="https://www.consilium.europa.eu/en/meetings/calendar/" TargetMode="External"/><Relationship Id="rId20" Type="http://schemas.openxmlformats.org/officeDocument/2006/relationships/hyperlink" Target="https://www.consilium.europa.eu/en/documents-publications/public-register/" TargetMode="External"/><Relationship Id="rId21" Type="http://schemas.openxmlformats.org/officeDocument/2006/relationships/hyperlink" Target="https://irish-presidency.consilium.europa.eu/en/" TargetMode="External"/><Relationship Id="rId22" Type="http://schemas.openxmlformats.org/officeDocument/2006/relationships/hyperlink" Target="https://www.netherlandsandyou.nl/web/pr-eu-brussels/transparency-lists-2026" TargetMode="External"/><Relationship Id="rId23" Type="http://schemas.openxmlformats.org/officeDocument/2006/relationships/hyperlink" Target="https://um.dk/eu/en/about-us/representatives/permanent-representative/transparency/" TargetMode="External"/><Relationship Id="rId24" Type="http://schemas.openxmlformats.org/officeDocument/2006/relationships/hyperlink" Target="https://gov.si/en/representations/permanent-representation-to-the-european-union-brussels/about-the-permanent-representation-to-the-european-union-brussels/transparency-register" TargetMode="External"/><Relationship Id="rId25" Type="http://schemas.openxmlformats.org/officeDocument/2006/relationships/hyperlink" Target="https://civilsocietyeurope.eu/wp-content/uploads/2025/04/CSE-analysis-on-the-transparency-of-the-Perm-Reps-to-the-EU.docx.pdf" TargetMode="External"/><Relationship Id="rId26" Type="http://schemas.openxmlformats.org/officeDocument/2006/relationships/hyperlink" Target="https://www.ecb.europa.eu/ecb/access_to_documents/document/calendars/html/index.en.html" TargetMode="External"/><Relationship Id="rId27" Type="http://schemas.openxmlformats.org/officeDocument/2006/relationships/hyperlink" Target="https://www.eba.europa.eu/about-us/organisation-and-governance/accountability/public-meetings-registers" TargetMode="External"/><Relationship Id="rId28" Type="http://schemas.openxmlformats.org/officeDocument/2006/relationships/hyperlink" Target="https://www.eiopa.europa.eu/about/accountability-and-transparency/record-meetings_en" TargetMode="External"/><Relationship Id="rId29" Type="http://schemas.openxmlformats.org/officeDocument/2006/relationships/hyperlink" Target="https://www.esma.europa.eu/node/200182" TargetMode="External"/><Relationship Id="rId30" Type="http://schemas.openxmlformats.org/officeDocument/2006/relationships/hyperlink" Target="https://www.ema.europa.eu/en/partners-networks/pharmaceutical-industry/industry-stakeholder-platform-meetings" TargetMode="External"/><Relationship Id="rId31" Type="http://schemas.openxmlformats.org/officeDocument/2006/relationships/hyperlink" Target="https://www.eesc.europa.eu/sites/default/files/ropas/RoPA%20E111_Publication%20of%20meetings%20of%20EESC%20office-holding%20members%20with%20interest%20representatives%20.pdf" TargetMode="External"/><Relationship Id="rId32" Type="http://schemas.openxmlformats.org/officeDocument/2006/relationships/hyperlink" Target="https://www.cor.europa.eu/sites/default/files/2026-01/legislative_footprint.pdf" TargetMode="External"/><Relationship Id="rId33" Type="http://schemas.openxmlformats.org/officeDocument/2006/relationships/hyperlink" Target="https://www.ombudsman.europa.eu/en/home" TargetMode="External"/><Relationship Id="rId34" Type="http://schemas.openxmlformats.org/officeDocument/2006/relationships/hyperlink" Target="https://www.lachambre.be/kvvcr/showpage.cfm?section=/lobby&amp;language=fr" TargetMode="External"/><Relationship Id="rId35" Type="http://schemas.openxmlformats.org/officeDocument/2006/relationships/hyperlink" Target="https://integritywatch.eu/ecmeetings" TargetMode="External"/><Relationship Id="rId36" Type="http://schemas.openxmlformats.org/officeDocument/2006/relationships/hyperlink" Target="https://integritywatch.eu/mepmeetings" TargetMode="External"/><Relationship Id="rId37" Type="http://schemas.openxmlformats.org/officeDocument/2006/relationships/hyperlink" Target="https://integritywatch.eu/organizations.php?s=1" TargetMode="External"/><Relationship Id="rId38" Type="http://schemas.openxmlformats.org/officeDocument/2006/relationships/hyperlink" Target="https://www.lobbyfacts.eu/" TargetMode="External"/><Relationship Id="rId39" Type="http://schemas.openxmlformats.org/officeDocument/2006/relationships/hyperlink" Target="https://www.asktheeu.org/" TargetMode="External"/><Relationship Id="rId40" Type="http://schemas.openxmlformats.org/officeDocument/2006/relationships/hyperlink" Target="https://parltrack.org/" TargetMode="External"/><Relationship Id="rId41" Type="http://schemas.openxmlformats.org/officeDocument/2006/relationships/hyperlink" Target="https://howtheyvote.eu/" TargetMode="External"/><Relationship Id="rId42" Type="http://schemas.openxmlformats.org/officeDocument/2006/relationships/hyperlink" Target="https://eumatrix.eu/" TargetMode="External"/><Relationship Id="rId43" Type="http://schemas.openxmlformats.org/officeDocument/2006/relationships/hyperlink" Target="https://corporateeurope.org/en" TargetMode="External"/><Relationship Id="rId44" Type="http://schemas.openxmlformats.org/officeDocument/2006/relationships/hyperlink" Target="https://alter-eu.org/" TargetMode="External"/><Relationship Id="rId45" Type="http://schemas.openxmlformats.org/officeDocument/2006/relationships/hyperlink" Target="https://op.europa.eu/en/web/who-is-who" TargetMode="External"/><Relationship Id="rId46" Type="http://schemas.openxmlformats.org/officeDocument/2006/relationships/hyperlink" Target="https://pac.org/government-relations-tracking-analytics-tools-eu-public-affairs" TargetMode="External"/><Relationship Id="rId47" Type="http://schemas.openxmlformats.org/officeDocument/2006/relationships/hyperlink" Target="https://the-bubble.org/agenda/" TargetMode="External"/><Relationship Id="rId48" Type="http://schemas.openxmlformats.org/officeDocument/2006/relationships/hyperlink" Target="https://euagenda.eu/" TargetMode="External"/><Relationship Id="rId49" Type="http://schemas.openxmlformats.org/officeDocument/2006/relationships/hyperlink" Target="https://agenda.rapporteur.com/" TargetMode="External"/><Relationship Id="rId50" Type="http://schemas.openxmlformats.org/officeDocument/2006/relationships/hyperlink" Target="https://audiovisual.ec.europa.eu/en/ebs/planning" TargetMode="External"/><Relationship Id="rId51" Type="http://schemas.openxmlformats.org/officeDocument/2006/relationships/hyperlink" Target="https://commission.europa.eu/get-involved/events_en" TargetMode="External"/><Relationship Id="rId52" Type="http://schemas.openxmlformats.org/officeDocument/2006/relationships/hyperlink" Target="https://european-union.europa.eu/news-and-events/events_en" TargetMode="External"/><Relationship Id="rId53" Type="http://schemas.openxmlformats.org/officeDocument/2006/relationships/hyperlink" Target="https://www.europarl.europa.eu/news/en/agenda" TargetMode="External"/><Relationship Id="rId54" Type="http://schemas.openxmlformats.org/officeDocument/2006/relationships/hyperlink" Target="https://www.eesc.europa.eu/en/agenda" TargetMode="External"/><Relationship Id="rId55" Type="http://schemas.openxmlformats.org/officeDocument/2006/relationships/hyperlink" Target="https://www.eumonitor.eu/" TargetMode="External"/><Relationship Id="rId56" Type="http://schemas.openxmlformats.org/officeDocument/2006/relationships/hyperlink" Target="https://ieu-monitoring.com/events/" TargetMode="External"/><Relationship Id="rId57" Type="http://schemas.openxmlformats.org/officeDocument/2006/relationships/hyperlink" Target="https://www.politico.eu/newsletter/brussels-playbook/" TargetMode="External"/><Relationship Id="rId58" Type="http://schemas.openxmlformats.org/officeDocument/2006/relationships/hyperlink" Target="https://euobserver.com/topic/agenda/" TargetMode="External"/><Relationship Id="rId59" Type="http://schemas.openxmlformats.org/officeDocument/2006/relationships/hyperlink" Target="https://agenceurope.eu/en/calendar.html" TargetMode="External"/><Relationship Id="rId60" Type="http://schemas.openxmlformats.org/officeDocument/2006/relationships/hyperlink" Target="https://agenceurope.eu/en/calendar-extra.html" TargetMode="External"/><Relationship Id="rId61" Type="http://schemas.openxmlformats.org/officeDocument/2006/relationships/hyperlink" Target="https://www.pubaffairsbruxelles.eu/event/" TargetMode="External"/><Relationship Id="rId62" Type="http://schemas.openxmlformats.org/officeDocument/2006/relationships/hyperlink" Target="https://event.brusselstimes.com/events-listing/" TargetMode="External"/><Relationship Id="rId63" Type="http://schemas.openxmlformats.org/officeDocument/2006/relationships/hyperlink" Target="https://luma.com/discover" TargetMode="External"/><Relationship Id="rId64" Type="http://schemas.openxmlformats.org/officeDocument/2006/relationships/hyperlink" Target="https://www.eventbrite.be/d/belgium--brussels/eu-policy/" TargetMode="External"/><Relationship Id="rId65" Type="http://schemas.openxmlformats.org/officeDocument/2006/relationships/hyperlink" Target="https://www.meetup.com/find/?location=be--Brussels" TargetMode="External"/><Relationship Id="rId66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extranet.acer.europa.eu/Events" TargetMode="External"/><Relationship Id="rId2" Type="http://schemas.openxmlformats.org/officeDocument/2006/relationships/hyperlink" Target="https://www.berec.europa.eu/en/events" TargetMode="External"/><Relationship Id="rId3" Type="http://schemas.openxmlformats.org/officeDocument/2006/relationships/hyperlink" Target="https://www.cedefop.europa.eu/en/events" TargetMode="External"/><Relationship Id="rId4" Type="http://schemas.openxmlformats.org/officeDocument/2006/relationships/hyperlink" Target="https://www.cepol.europa.eu/education-training/what-we-teach/residential-activities" TargetMode="External"/><Relationship Id="rId5" Type="http://schemas.openxmlformats.org/officeDocument/2006/relationships/hyperlink" Target="https://www.clean-hydrogen.europa.eu/media/events_en" TargetMode="External"/><Relationship Id="rId6" Type="http://schemas.openxmlformats.org/officeDocument/2006/relationships/hyperlink" Target="https://www.consilium.europa.eu/en/meetings/calendar/" TargetMode="External"/><Relationship Id="rId7" Type="http://schemas.openxmlformats.org/officeDocument/2006/relationships/hyperlink" Target="https://irish-presidency.consilium.europa.eu/en/events/" TargetMode="External"/><Relationship Id="rId8" Type="http://schemas.openxmlformats.org/officeDocument/2006/relationships/hyperlink" Target="https://eu-mayors.ec.europa.eu/en/events" TargetMode="External"/><Relationship Id="rId9" Type="http://schemas.openxmlformats.org/officeDocument/2006/relationships/hyperlink" Target="https://agriculture.ec.europa.eu/events_en" TargetMode="External"/><Relationship Id="rId10" Type="http://schemas.openxmlformats.org/officeDocument/2006/relationships/hyperlink" Target="https://climate.ec.europa.eu/news-your-voice/events_en" TargetMode="External"/><Relationship Id="rId11" Type="http://schemas.openxmlformats.org/officeDocument/2006/relationships/hyperlink" Target="https://competition-policy.ec.europa.eu/about/reaching-out_en" TargetMode="External"/><Relationship Id="rId12" Type="http://schemas.openxmlformats.org/officeDocument/2006/relationships/hyperlink" Target="https://digital-strategy.ec.europa.eu/en/events" TargetMode="External"/><Relationship Id="rId13" Type="http://schemas.openxmlformats.org/officeDocument/2006/relationships/hyperlink" Target="https://defence-industry-space.ec.europa.eu/newsroom/events_en" TargetMode="External"/><Relationship Id="rId14" Type="http://schemas.openxmlformats.org/officeDocument/2006/relationships/hyperlink" Target="https://education.ec.europa.eu/events" TargetMode="External"/><Relationship Id="rId15" Type="http://schemas.openxmlformats.org/officeDocument/2006/relationships/hyperlink" Target="https://economy-finance.ec.europa.eu/events_en" TargetMode="External"/><Relationship Id="rId16" Type="http://schemas.openxmlformats.org/officeDocument/2006/relationships/hyperlink" Target="https://employment-social-affairs.ec.europa.eu/events_en" TargetMode="External"/><Relationship Id="rId17" Type="http://schemas.openxmlformats.org/officeDocument/2006/relationships/hyperlink" Target="https://energy.ec.europa.eu/events_en" TargetMode="External"/><Relationship Id="rId18" Type="http://schemas.openxmlformats.org/officeDocument/2006/relationships/hyperlink" Target="https://environment.ec.europa.eu/events_en" TargetMode="External"/><Relationship Id="rId19" Type="http://schemas.openxmlformats.org/officeDocument/2006/relationships/hyperlink" Target="https://finance.ec.europa.eu/events_en" TargetMode="External"/><Relationship Id="rId20" Type="http://schemas.openxmlformats.org/officeDocument/2006/relationships/hyperlink" Target="https://food.ec.europa.eu/events_en" TargetMode="External"/><Relationship Id="rId21" Type="http://schemas.openxmlformats.org/officeDocument/2006/relationships/hyperlink" Target="https://single-market-economy.ec.europa.eu/events_en" TargetMode="External"/><Relationship Id="rId22" Type="http://schemas.openxmlformats.org/officeDocument/2006/relationships/hyperlink" Target="https://home-affairs.ec.europa.eu/events_en" TargetMode="External"/><Relationship Id="rId23" Type="http://schemas.openxmlformats.org/officeDocument/2006/relationships/hyperlink" Target="https://international-partnerships.ec.europa.eu/news-and-events/events_en" TargetMode="External"/><Relationship Id="rId24" Type="http://schemas.openxmlformats.org/officeDocument/2006/relationships/hyperlink" Target="https://commission.europa.eu/get-involved/events_en" TargetMode="External"/><Relationship Id="rId25" Type="http://schemas.openxmlformats.org/officeDocument/2006/relationships/hyperlink" Target="https://oceans-and-fisheries.ec.europa.eu/events_en" TargetMode="External"/><Relationship Id="rId26" Type="http://schemas.openxmlformats.org/officeDocument/2006/relationships/hyperlink" Target="https://transport.ec.europa.eu/news-events/events_en" TargetMode="External"/><Relationship Id="rId27" Type="http://schemas.openxmlformats.org/officeDocument/2006/relationships/hyperlink" Target="https://commission.europa.eu/get-involved/events_en" TargetMode="External"/><Relationship Id="rId28" Type="http://schemas.openxmlformats.org/officeDocument/2006/relationships/hyperlink" Target="https://research-and-innovation.ec.europa.eu/events_en" TargetMode="External"/><Relationship Id="rId29" Type="http://schemas.openxmlformats.org/officeDocument/2006/relationships/hyperlink" Target="https://health.ec.europa.eu/events_en" TargetMode="External"/><Relationship Id="rId30" Type="http://schemas.openxmlformats.org/officeDocument/2006/relationships/hyperlink" Target="https://taxation-customs.ec.europa.eu/events_en" TargetMode="External"/><Relationship Id="rId31" Type="http://schemas.openxmlformats.org/officeDocument/2006/relationships/hyperlink" Target="https://policy.trade.ec.europa.eu/events_en" TargetMode="External"/><Relationship Id="rId32" Type="http://schemas.openxmlformats.org/officeDocument/2006/relationships/hyperlink" Target="https://www.eiopa.europa.eu/media/events_en" TargetMode="External"/><Relationship Id="rId33" Type="http://schemas.openxmlformats.org/officeDocument/2006/relationships/hyperlink" Target="https://www.eitfood.eu/events" TargetMode="External"/><Relationship Id="rId34" Type="http://schemas.openxmlformats.org/officeDocument/2006/relationships/hyperlink" Target="https://www.enisa.europa.eu/events" TargetMode="External"/><Relationship Id="rId35" Type="http://schemas.openxmlformats.org/officeDocument/2006/relationships/hyperlink" Target="https://www.esma.europa.eu/press-news/esma-events" TargetMode="External"/><Relationship Id="rId36" Type="http://schemas.openxmlformats.org/officeDocument/2006/relationships/hyperlink" Target="https://fra.europa.eu/en/events" TargetMode="External"/><Relationship Id="rId37" Type="http://schemas.openxmlformats.org/officeDocument/2006/relationships/hyperlink" Target="https://www.iss.europa.eu/activities/events" TargetMode="External"/><Relationship Id="rId38" Type="http://schemas.openxmlformats.org/officeDocument/2006/relationships/hyperlink" Target="https://op.europa.eu/en/web/about-us/events" TargetMode="External"/><Relationship Id="rId39" Type="http://schemas.openxmlformats.org/officeDocument/2006/relationships/hyperlink" Target="https://research-innovation-community.ec.europa.eu/events" TargetMode="External"/><Relationship Id="rId40" Type="http://schemas.openxmlformats.org/officeDocument/2006/relationships/hyperlink" Target="https://www.eurofound.europa.eu/en/events" TargetMode="External"/><Relationship Id="rId41" Type="http://schemas.openxmlformats.org/officeDocument/2006/relationships/hyperlink" Target="https://www.eba.europa.eu/publications-and-media/events" TargetMode="External"/><Relationship Id="rId42" Type="http://schemas.openxmlformats.org/officeDocument/2006/relationships/hyperlink" Target="https://www.ecb.europa.eu/press/conferences/html/index.en.html" TargetMode="External"/><Relationship Id="rId43" Type="http://schemas.openxmlformats.org/officeDocument/2006/relationships/hyperlink" Target="https://echa.europa.eu/news-and-events/events" TargetMode="External"/><Relationship Id="rId44" Type="http://schemas.openxmlformats.org/officeDocument/2006/relationships/hyperlink" Target="https://commission.europa.eu/get-involved/events_en" TargetMode="External"/><Relationship Id="rId45" Type="http://schemas.openxmlformats.org/officeDocument/2006/relationships/hyperlink" Target="https://belgium.representation.ec.europa.eu/news-and-events/events_fr" TargetMode="External"/><Relationship Id="rId46" Type="http://schemas.openxmlformats.org/officeDocument/2006/relationships/hyperlink" Target="https://cor.europa.eu/en/events" TargetMode="External"/><Relationship Id="rId47" Type="http://schemas.openxmlformats.org/officeDocument/2006/relationships/hyperlink" Target="https://www.eca.europa.eu/en/events" TargetMode="External"/><Relationship Id="rId48" Type="http://schemas.openxmlformats.org/officeDocument/2006/relationships/hyperlink" Target="https://www.edps.europa.eu/press-publications/events_en" TargetMode="External"/><Relationship Id="rId49" Type="http://schemas.openxmlformats.org/officeDocument/2006/relationships/hyperlink" Target="https://eda.europa.eu/news-and-events/events" TargetMode="External"/><Relationship Id="rId50" Type="http://schemas.openxmlformats.org/officeDocument/2006/relationships/hyperlink" Target="https://www.eesc.europa.eu/en/agenda" TargetMode="External"/><Relationship Id="rId51" Type="http://schemas.openxmlformats.org/officeDocument/2006/relationships/hyperlink" Target="https://www.eea.europa.eu/en/newsroom/events" TargetMode="External"/><Relationship Id="rId52" Type="http://schemas.openxmlformats.org/officeDocument/2006/relationships/hyperlink" Target="https://www.eeas.europa.eu/eeas/events_en" TargetMode="External"/><Relationship Id="rId53" Type="http://schemas.openxmlformats.org/officeDocument/2006/relationships/hyperlink" Target="https://www.efsa.europa.eu/en/events" TargetMode="External"/><Relationship Id="rId54" Type="http://schemas.openxmlformats.org/officeDocument/2006/relationships/hyperlink" Target="https://eic.ec.europa.eu/events_en" TargetMode="External"/><Relationship Id="rId55" Type="http://schemas.openxmlformats.org/officeDocument/2006/relationships/hyperlink" Target="https://www.eib.org/en/events/index" TargetMode="External"/><Relationship Id="rId56" Type="http://schemas.openxmlformats.org/officeDocument/2006/relationships/hyperlink" Target="https://www.ela.europa.eu/en/events" TargetMode="External"/><Relationship Id="rId57" Type="http://schemas.openxmlformats.org/officeDocument/2006/relationships/hyperlink" Target="https://www.ema.europa.eu/en/news-events" TargetMode="External"/><Relationship Id="rId58" Type="http://schemas.openxmlformats.org/officeDocument/2006/relationships/hyperlink" Target="https://www.ombudsman.europa.eu/en/events" TargetMode="External"/><Relationship Id="rId59" Type="http://schemas.openxmlformats.org/officeDocument/2006/relationships/hyperlink" Target="https://www.europarl.europa.eu/news/en/agenda" TargetMode="External"/><Relationship Id="rId60" Type="http://schemas.openxmlformats.org/officeDocument/2006/relationships/hyperlink" Target="https://www.europarl.europa.eu/belgium/fr/actualites-activites" TargetMode="External"/><Relationship Id="rId61" Type="http://schemas.openxmlformats.org/officeDocument/2006/relationships/hyperlink" Target="https://www.europarl.europa.eu/thinktank/en/events" TargetMode="External"/><Relationship Id="rId62" Type="http://schemas.openxmlformats.org/officeDocument/2006/relationships/hyperlink" Target="https://www.europol.europa.eu/events" TargetMode="External"/><Relationship Id="rId63" Type="http://schemas.openxmlformats.org/officeDocument/2006/relationships/hyperlink" Target="https://commission.europa.eu/get-involved/events_en" TargetMode="External"/><Relationship Id="rId64" Type="http://schemas.openxmlformats.org/officeDocument/2006/relationships/hyperlink" Target="https://historia.europa.eu/en/exhibitions-events/events" TargetMode="External"/><Relationship Id="rId65" Type="http://schemas.openxmlformats.org/officeDocument/2006/relationships/hyperlink" Target="https://joint-research-centre.ec.europa.eu/events_en" TargetMode="External"/><Relationship Id="rId66" Type="http://schemas.openxmlformats.org/officeDocument/2006/relationships/hyperlink" Target="https://ruralpact.rural-vision.europa.eu/events_en" TargetMode="External"/><Relationship Id="rId67" Type="http://schemas.openxmlformats.org/officeDocument/2006/relationships/hyperlink" Target="https://www.sesarju.eu/events" TargetMode="External"/><Relationship Id="rId68" Type="http://schemas.openxmlformats.org/officeDocument/2006/relationships/hyperlink" Target="https://www.aldeparty.eu/events" TargetMode="External"/><Relationship Id="rId69" Type="http://schemas.openxmlformats.org/officeDocument/2006/relationships/hyperlink" Target="https://coppietersfoundation.eu/activities/event/" TargetMode="External"/><Relationship Id="rId70" Type="http://schemas.openxmlformats.org/officeDocument/2006/relationships/hyperlink" Target="https://ecrgroup.eu/events" TargetMode="External"/><Relationship Id="rId71" Type="http://schemas.openxmlformats.org/officeDocument/2006/relationships/hyperlink" Target="https://www.eppgroup.eu/newsroom/events" TargetMode="External"/><Relationship Id="rId72" Type="http://schemas.openxmlformats.org/officeDocument/2006/relationships/hyperlink" Target="https://esn-group.eu/" TargetMode="External"/><Relationship Id="rId73" Type="http://schemas.openxmlformats.org/officeDocument/2006/relationships/hyperlink" Target="https://democrats.eu/events/" TargetMode="External"/><Relationship Id="rId74" Type="http://schemas.openxmlformats.org/officeDocument/2006/relationships/hyperlink" Target="https://europeangreens.eu/events/" TargetMode="External"/><Relationship Id="rId75" Type="http://schemas.openxmlformats.org/officeDocument/2006/relationships/hyperlink" Target="https://liberalforum.eu/events/" TargetMode="External"/><Relationship Id="rId76" Type="http://schemas.openxmlformats.org/officeDocument/2006/relationships/hyperlink" Target="https://www.epp.eu/events" TargetMode="External"/><Relationship Id="rId77" Type="http://schemas.openxmlformats.org/officeDocument/2006/relationships/hyperlink" Target="https://feps-europe.eu/upcoming-events/" TargetMode="External"/><Relationship Id="rId78" Type="http://schemas.openxmlformats.org/officeDocument/2006/relationships/hyperlink" Target="https://www.jean-jaures.org/evenements/" TargetMode="External"/><Relationship Id="rId79" Type="http://schemas.openxmlformats.org/officeDocument/2006/relationships/hyperlink" Target="https://brussels.fes.de/events" TargetMode="External"/><Relationship Id="rId80" Type="http://schemas.openxmlformats.org/officeDocument/2006/relationships/hyperlink" Target="https://www.freiheit.org/european-union" TargetMode="External"/><Relationship Id="rId81" Type="http://schemas.openxmlformats.org/officeDocument/2006/relationships/hyperlink" Target="https://gef.eu/events/" TargetMode="External"/><Relationship Id="rId82" Type="http://schemas.openxmlformats.org/officeDocument/2006/relationships/hyperlink" Target="https://www.greens-efa.eu/en/get-involved/our-events" TargetMode="External"/><Relationship Id="rId83" Type="http://schemas.openxmlformats.org/officeDocument/2006/relationships/hyperlink" Target="https://www.hss.de/en/" TargetMode="External"/><Relationship Id="rId84" Type="http://schemas.openxmlformats.org/officeDocument/2006/relationships/hyperlink" Target="https://eu.boell.org/en/events" TargetMode="External"/><Relationship Id="rId85" Type="http://schemas.openxmlformats.org/officeDocument/2006/relationships/hyperlink" Target="https://www.iedonline.eu/events" TargetMode="External"/><Relationship Id="rId86" Type="http://schemas.openxmlformats.org/officeDocument/2006/relationships/hyperlink" Target="https://www.kas.de/en/web/europa" TargetMode="External"/><Relationship Id="rId87" Type="http://schemas.openxmlformats.org/officeDocument/2006/relationships/hyperlink" Target="https://newdirection.online/events" TargetMode="External"/><Relationship Id="rId88" Type="http://schemas.openxmlformats.org/officeDocument/2006/relationships/hyperlink" Target="https://democrats.eu/events/" TargetMode="External"/><Relationship Id="rId89" Type="http://schemas.openxmlformats.org/officeDocument/2006/relationships/hyperlink" Target="https://pes.eu/events/" TargetMode="External"/><Relationship Id="rId90" Type="http://schemas.openxmlformats.org/officeDocument/2006/relationships/hyperlink" Target="https://patriotsforeurope.eu/" TargetMode="External"/><Relationship Id="rId91" Type="http://schemas.openxmlformats.org/officeDocument/2006/relationships/hyperlink" Target="https://www.reneweuropegroup.eu/events" TargetMode="External"/><Relationship Id="rId92" Type="http://schemas.openxmlformats.org/officeDocument/2006/relationships/hyperlink" Target="https://www.rosalux.eu/en/events" TargetMode="External"/><Relationship Id="rId93" Type="http://schemas.openxmlformats.org/officeDocument/2006/relationships/hyperlink" Target="https://www.socialistsanddemocrats.eu/latest/type/event" TargetMode="External"/><Relationship Id="rId94" Type="http://schemas.openxmlformats.org/officeDocument/2006/relationships/hyperlink" Target="https://left.eu/events/" TargetMode="External"/><Relationship Id="rId95" Type="http://schemas.openxmlformats.org/officeDocument/2006/relationships/hyperlink" Target="https://transform-network.net/event/" TargetMode="External"/><Relationship Id="rId96" Type="http://schemas.openxmlformats.org/officeDocument/2006/relationships/hyperlink" Target="https://voltbelgium.org/events" TargetMode="External"/><Relationship Id="rId97" Type="http://schemas.openxmlformats.org/officeDocument/2006/relationships/hyperlink" Target="https://www.martenscentre.eu/events/" TargetMode="External"/><Relationship Id="rId98" Type="http://schemas.openxmlformats.org/officeDocument/2006/relationships/hyperlink" Target="https://www.agora-energiewende.org/events" TargetMode="External"/><Relationship Id="rId99" Type="http://schemas.openxmlformats.org/officeDocument/2006/relationships/hyperlink" Target="https://www.atlanticcouncil.org/events/" TargetMode="External"/><Relationship Id="rId100" Type="http://schemas.openxmlformats.org/officeDocument/2006/relationships/hyperlink" Target="https://www.bertelsmann-stiftung.de/en/our-projects/brussels-office" TargetMode="External"/><Relationship Id="rId101" Type="http://schemas.openxmlformats.org/officeDocument/2006/relationships/hyperlink" Target="https://www.bpie.eu/events/" TargetMode="External"/><Relationship Id="rId102" Type="http://schemas.openxmlformats.org/officeDocument/2006/relationships/hyperlink" Target="https://www.bruegel.org/events" TargetMode="External"/><Relationship Id="rId103" Type="http://schemas.openxmlformats.org/officeDocument/2006/relationships/hyperlink" Target="https://big-europe.eu/events" TargetMode="External"/><Relationship Id="rId104" Type="http://schemas.openxmlformats.org/officeDocument/2006/relationships/hyperlink" Target="https://brussels-school.be/events" TargetMode="External"/><Relationship Id="rId105" Type="http://schemas.openxmlformats.org/officeDocument/2006/relationships/hyperlink" Target="https://carnegieendowment.org/europe/events" TargetMode="External"/><Relationship Id="rId106" Type="http://schemas.openxmlformats.org/officeDocument/2006/relationships/hyperlink" Target="https://www.cep.eu/en/events.html" TargetMode="External"/><Relationship Id="rId107" Type="http://schemas.openxmlformats.org/officeDocument/2006/relationships/hyperlink" Target="https://www.cer.eu/events" TargetMode="External"/><Relationship Id="rId108" Type="http://schemas.openxmlformats.org/officeDocument/2006/relationships/hyperlink" Target="https://cepr.org/events" TargetMode="External"/><Relationship Id="rId109" Type="http://schemas.openxmlformats.org/officeDocument/2006/relationships/hyperlink" Target="https://www.ceps.eu/ceps-events/?filter_state=upcoming" TargetMode="External"/><Relationship Id="rId110" Type="http://schemas.openxmlformats.org/officeDocument/2006/relationships/hyperlink" Target="https://cerre.eu/events/" TargetMode="External"/><Relationship Id="rId111" Type="http://schemas.openxmlformats.org/officeDocument/2006/relationships/hyperlink" Target="https://www.chathamhouse.org/events" TargetMode="External"/><Relationship Id="rId112" Type="http://schemas.openxmlformats.org/officeDocument/2006/relationships/hyperlink" Target="https://www.catf.us/events/" TargetMode="External"/><Relationship Id="rId113" Type="http://schemas.openxmlformats.org/officeDocument/2006/relationships/hyperlink" Target="https://www.clingendael.org/events" TargetMode="External"/><Relationship Id="rId114" Type="http://schemas.openxmlformats.org/officeDocument/2006/relationships/hyperlink" Target="https://www.coleurope.eu/events" TargetMode="External"/><Relationship Id="rId115" Type="http://schemas.openxmlformats.org/officeDocument/2006/relationships/hyperlink" Target="https://confrontations.org/agenda/" TargetMode="External"/><Relationship Id="rId116" Type="http://schemas.openxmlformats.org/officeDocument/2006/relationships/hyperlink" Target="https://www.csis.org/events" TargetMode="External"/><Relationship Id="rId117" Type="http://schemas.openxmlformats.org/officeDocument/2006/relationships/hyperlink" Target="https://www.e3g.org/events/" TargetMode="External"/><Relationship Id="rId118" Type="http://schemas.openxmlformats.org/officeDocument/2006/relationships/hyperlink" Target="https://ecdpm.org/events" TargetMode="External"/><Relationship Id="rId119" Type="http://schemas.openxmlformats.org/officeDocument/2006/relationships/hyperlink" Target="https://ecfr.eu/events/" TargetMode="External"/><Relationship Id="rId120" Type="http://schemas.openxmlformats.org/officeDocument/2006/relationships/hyperlink" Target="https://ecipe.org/events/" TargetMode="External"/><Relationship Id="rId121" Type="http://schemas.openxmlformats.org/officeDocument/2006/relationships/hyperlink" Target="https://www.eera-set.eu/events.html" TargetMode="External"/><Relationship Id="rId122" Type="http://schemas.openxmlformats.org/officeDocument/2006/relationships/hyperlink" Target="https://www.egmontinstitute.be/events/" TargetMode="External"/><Relationship Id="rId123" Type="http://schemas.openxmlformats.org/officeDocument/2006/relationships/hyperlink" Target="https://eias.org/events/" TargetMode="External"/><Relationship Id="rId124" Type="http://schemas.openxmlformats.org/officeDocument/2006/relationships/hyperlink" Target="https://www.realinstitutoelcano.org/en/events/" TargetMode="External"/><Relationship Id="rId125" Type="http://schemas.openxmlformats.org/officeDocument/2006/relationships/hyperlink" Target="https://ember-energy.org/events/" TargetMode="External"/><Relationship Id="rId126" Type="http://schemas.openxmlformats.org/officeDocument/2006/relationships/hyperlink" Target="https://www.epicenternetwork.eu/events/" TargetMode="External"/><Relationship Id="rId127" Type="http://schemas.openxmlformats.org/officeDocument/2006/relationships/hyperlink" Target="https://www.era.int/events/" TargetMode="External"/><Relationship Id="rId128" Type="http://schemas.openxmlformats.org/officeDocument/2006/relationships/hyperlink" Target="https://www.eu-asiacentre.eu/" TargetMode="External"/><Relationship Id="rId129" Type="http://schemas.openxmlformats.org/officeDocument/2006/relationships/hyperlink" Target="https://fsr.eui.eu/events/" TargetMode="External"/><Relationship Id="rId130" Type="http://schemas.openxmlformats.org/officeDocument/2006/relationships/hyperlink" Target="https://eurogoos.eu/events/" TargetMode="External"/><Relationship Id="rId131" Type="http://schemas.openxmlformats.org/officeDocument/2006/relationships/hyperlink" Target="https://efi.int/events" TargetMode="External"/><Relationship Id="rId132" Type="http://schemas.openxmlformats.org/officeDocument/2006/relationships/hyperlink" Target="https://www.marineboard.eu/events" TargetMode="External"/><Relationship Id="rId133" Type="http://schemas.openxmlformats.org/officeDocument/2006/relationships/hyperlink" Target="https://www.epc.eu/en/events" TargetMode="External"/><Relationship Id="rId134" Type="http://schemas.openxmlformats.org/officeDocument/2006/relationships/hyperlink" Target="https://epicouncil.eu/" TargetMode="External"/><Relationship Id="rId135" Type="http://schemas.openxmlformats.org/officeDocument/2006/relationships/hyperlink" Target="https://www.europeum.org/en/events" TargetMode="External"/><Relationship Id="rId136" Type="http://schemas.openxmlformats.org/officeDocument/2006/relationships/hyperlink" Target="https://www.farm-europe.eu/events/" TargetMode="External"/><Relationship Id="rId137" Type="http://schemas.openxmlformats.org/officeDocument/2006/relationships/hyperlink" Target="https://www.robert-schuman.eu/en/agenda" TargetMode="External"/><Relationship Id="rId138" Type="http://schemas.openxmlformats.org/officeDocument/2006/relationships/hyperlink" Target="https://fpc.org.uk/events/" TargetMode="External"/><Relationship Id="rId139" Type="http://schemas.openxmlformats.org/officeDocument/2006/relationships/hyperlink" Target="https://www.friendsofeurope.org/events/" TargetMode="External"/><Relationship Id="rId140" Type="http://schemas.openxmlformats.org/officeDocument/2006/relationships/hyperlink" Target="https://fpf.org/fpf-events/upcoming/" TargetMode="External"/><Relationship Id="rId141" Type="http://schemas.openxmlformats.org/officeDocument/2006/relationships/hyperlink" Target="https://www.gmfus.org/events" TargetMode="External"/><Relationship Id="rId142" Type="http://schemas.openxmlformats.org/officeDocument/2006/relationships/hyperlink" Target="https://www.coleurope.eu/research/global-competition-law-centre-gclc" TargetMode="External"/><Relationship Id="rId143" Type="http://schemas.openxmlformats.org/officeDocument/2006/relationships/hyperlink" Target="https://www.eui.eu/events" TargetMode="External"/><Relationship Id="rId144" Type="http://schemas.openxmlformats.org/officeDocument/2006/relationships/hyperlink" Target="https://www.iai.it/en/eventi" TargetMode="External"/><Relationship Id="rId145" Type="http://schemas.openxmlformats.org/officeDocument/2006/relationships/hyperlink" Target="https://icds.ee/en/" TargetMode="External"/><Relationship Id="rId146" Type="http://schemas.openxmlformats.org/officeDocument/2006/relationships/hyperlink" Target="https://www.ifri.org/en/events" TargetMode="External"/><Relationship Id="rId147" Type="http://schemas.openxmlformats.org/officeDocument/2006/relationships/hyperlink" Target="https://www.iiea.com/events" TargetMode="External"/><Relationship Id="rId148" Type="http://schemas.openxmlformats.org/officeDocument/2006/relationships/hyperlink" Target="https://www.iiss.org/events/" TargetMode="External"/><Relationship Id="rId149" Type="http://schemas.openxmlformats.org/officeDocument/2006/relationships/hyperlink" Target="https://iee.ulb.be/fr/agenda" TargetMode="External"/><Relationship Id="rId150" Type="http://schemas.openxmlformats.org/officeDocument/2006/relationships/hyperlink" Target="https://www.i-com.it/en/events/" TargetMode="External"/><Relationship Id="rId151" Type="http://schemas.openxmlformats.org/officeDocument/2006/relationships/hyperlink" Target="https://ieep.eu/events/" TargetMode="External"/><Relationship Id="rId152" Type="http://schemas.openxmlformats.org/officeDocument/2006/relationships/hyperlink" Target="https://laweconcenter.org/events/" TargetMode="External"/><Relationship Id="rId153" Type="http://schemas.openxmlformats.org/officeDocument/2006/relationships/hyperlink" Target="https://www.crisisgroup.org/how-we-work/events" TargetMode="External"/><Relationship Id="rId154" Type="http://schemas.openxmlformats.org/officeDocument/2006/relationships/hyperlink" Target="https://institutdelors.eu/evenements/" TargetMode="External"/><Relationship Id="rId155" Type="http://schemas.openxmlformats.org/officeDocument/2006/relationships/hyperlink" Target="https://ghum.kuleuven.be/ggs/events" TargetMode="External"/><Relationship Id="rId156" Type="http://schemas.openxmlformats.org/officeDocument/2006/relationships/hyperlink" Target="https://lisboncouncil.net/" TargetMode="External"/><Relationship Id="rId157" Type="http://schemas.openxmlformats.org/officeDocument/2006/relationships/hyperlink" Target="https://www.lse.ac.uk/events" TargetMode="External"/><Relationship Id="rId158" Type="http://schemas.openxmlformats.org/officeDocument/2006/relationships/hyperlink" Target="https://brussels.mcc.hu/events" TargetMode="External"/><Relationship Id="rId159" Type="http://schemas.openxmlformats.org/officeDocument/2006/relationships/hyperlink" Target="https://www.opensocietyfoundations.org/events" TargetMode="External"/><Relationship Id="rId160" Type="http://schemas.openxmlformats.org/officeDocument/2006/relationships/hyperlink" Target="https://www.raponline.org/events/" TargetMode="External"/><Relationship Id="rId161" Type="http://schemas.openxmlformats.org/officeDocument/2006/relationships/hyperlink" Target="https://www.bosch-stiftung.de/en/events" TargetMode="External"/><Relationship Id="rId162" Type="http://schemas.openxmlformats.org/officeDocument/2006/relationships/hyperlink" Target="https://www.sitra.fi/en/events/" TargetMode="External"/><Relationship Id="rId163" Type="http://schemas.openxmlformats.org/officeDocument/2006/relationships/hyperlink" Target="https://sbs-em.ulb.be/en/events" TargetMode="External"/><Relationship Id="rId164" Type="http://schemas.openxmlformats.org/officeDocument/2006/relationships/hyperlink" Target="https://strategicperspectives.eu/" TargetMode="External"/><Relationship Id="rId165" Type="http://schemas.openxmlformats.org/officeDocument/2006/relationships/hyperlink" Target="https://www.swp-berlin.org/en/swp/about-us/organization/swp-brussels/events-in-brussels" TargetMode="External"/><Relationship Id="rId166" Type="http://schemas.openxmlformats.org/officeDocument/2006/relationships/hyperlink" Target="https://www.villavigoni.eu/" TargetMode="External"/><Relationship Id="rId167" Type="http://schemas.openxmlformats.org/officeDocument/2006/relationships/hyperlink" Target="https://www.vlerick.com/en/events/" TargetMode="External"/><Relationship Id="rId168" Type="http://schemas.openxmlformats.org/officeDocument/2006/relationships/hyperlink" Target="https://www.acea.auto/nav?content=events" TargetMode="External"/><Relationship Id="rId169" Type="http://schemas.openxmlformats.org/officeDocument/2006/relationships/hyperlink" Target="https://www.aci-europe.org/events.html" TargetMode="External"/><Relationship Id="rId170" Type="http://schemas.openxmlformats.org/officeDocument/2006/relationships/hyperlink" Target="https://aesgp.eu/events" TargetMode="External"/><Relationship Id="rId171" Type="http://schemas.openxmlformats.org/officeDocument/2006/relationships/hyperlink" Target="https://www.afme.eu/events" TargetMode="External"/><Relationship Id="rId172" Type="http://schemas.openxmlformats.org/officeDocument/2006/relationships/hyperlink" Target="https://www.juicesummit.org/" TargetMode="External"/><Relationship Id="rId173" Type="http://schemas.openxmlformats.org/officeDocument/2006/relationships/hyperlink" Target="https://a4e.eu/events/" TargetMode="External"/><Relationship Id="rId174" Type="http://schemas.openxmlformats.org/officeDocument/2006/relationships/hyperlink" Target="https://alliedforstartups.org/events/" TargetMode="External"/><Relationship Id="rId175" Type="http://schemas.openxmlformats.org/officeDocument/2006/relationships/hyperlink" Target="https://www.amchameu.eu/events" TargetMode="External"/><Relationship Id="rId176" Type="http://schemas.openxmlformats.org/officeDocument/2006/relationships/hyperlink" Target="https://www.amcham.be/events" TargetMode="External"/><Relationship Id="rId177" Type="http://schemas.openxmlformats.org/officeDocument/2006/relationships/hyperlink" Target="https://animalhealtheurope.eu/events/" TargetMode="External"/><Relationship Id="rId178" Type="http://schemas.openxmlformats.org/officeDocument/2006/relationships/hyperlink" Target="https://www.applia-europe.eu/news/event-reports" TargetMode="External"/><Relationship Id="rId179" Type="http://schemas.openxmlformats.org/officeDocument/2006/relationships/hyperlink" Target="https://actonline.org/events/" TargetMode="External"/><Relationship Id="rId180" Type="http://schemas.openxmlformats.org/officeDocument/2006/relationships/hyperlink" Target="https://bdi.eu/de/veranstaltungen" TargetMode="External"/><Relationship Id="rId181" Type="http://schemas.openxmlformats.org/officeDocument/2006/relationships/hyperlink" Target="https://www.ccb-portugal.be/newsevents" TargetMode="External"/><Relationship Id="rId182" Type="http://schemas.openxmlformats.org/officeDocument/2006/relationships/hyperlink" Target="https://www.ccitabel.com/en/event" TargetMode="External"/><Relationship Id="rId183" Type="http://schemas.openxmlformats.org/officeDocument/2006/relationships/hyperlink" Target="https://bioenergyeurope.org/" TargetMode="External"/><Relationship Id="rId184" Type="http://schemas.openxmlformats.org/officeDocument/2006/relationships/hyperlink" Target="https://www.britcham.eu/events" TargetMode="External"/><Relationship Id="rId185" Type="http://schemas.openxmlformats.org/officeDocument/2006/relationships/hyperlink" Target="https://www.businesseurope.eu/events" TargetMode="External"/><Relationship Id="rId186" Type="http://schemas.openxmlformats.org/officeDocument/2006/relationships/hyperlink" Target="https://www.canadaeurope.eu/events/" TargetMode="External"/><Relationship Id="rId187" Type="http://schemas.openxmlformats.org/officeDocument/2006/relationships/hyperlink" Target="https://carbonmanagementeurope.org/events/" TargetMode="External"/><Relationship Id="rId188" Type="http://schemas.openxmlformats.org/officeDocument/2006/relationships/hyperlink" Target="https://ccianet.org/events/" TargetMode="External"/><Relationship Id="rId189" Type="http://schemas.openxmlformats.org/officeDocument/2006/relationships/hyperlink" Target="https://www.cecimo.eu/events/" TargetMode="External"/><Relationship Id="rId190" Type="http://schemas.openxmlformats.org/officeDocument/2006/relationships/hyperlink" Target="https://cefic.org/events/" TargetMode="External"/><Relationship Id="rId191" Type="http://schemas.openxmlformats.org/officeDocument/2006/relationships/hyperlink" Target="https://www.ceja.eu/" TargetMode="External"/><Relationship Id="rId192" Type="http://schemas.openxmlformats.org/officeDocument/2006/relationships/hyperlink" Target="https://www.cementeurope.eu/events" TargetMode="External"/><Relationship Id="rId193" Type="http://schemas.openxmlformats.org/officeDocument/2006/relationships/hyperlink" Target="https://www.cencenelec.eu/news-events/events/" TargetMode="External"/><Relationship Id="rId194" Type="http://schemas.openxmlformats.org/officeDocument/2006/relationships/hyperlink" Target="https://www.cepi.org/events/" TargetMode="External"/><Relationship Id="rId195" Type="http://schemas.openxmlformats.org/officeDocument/2006/relationships/hyperlink" Target="https://www.cer.be/events" TargetMode="External"/><Relationship Id="rId196" Type="http://schemas.openxmlformats.org/officeDocument/2006/relationships/hyperlink" Target="https://clepa.eu/events/" TargetMode="External"/><Relationship Id="rId197" Type="http://schemas.openxmlformats.org/officeDocument/2006/relationships/hyperlink" Target="https://www.cogeneurope.eu/events" TargetMode="External"/><Relationship Id="rId198" Type="http://schemas.openxmlformats.org/officeDocument/2006/relationships/hyperlink" Target="https://www.confcommercio.it/" TargetMode="External"/><Relationship Id="rId199" Type="http://schemas.openxmlformats.org/officeDocument/2006/relationships/hyperlink" Target="https://www.confindustria.it/eventi" TargetMode="External"/><Relationship Id="rId200" Type="http://schemas.openxmlformats.org/officeDocument/2006/relationships/hyperlink" Target="https://connecteurope.org/events" TargetMode="External"/><Relationship Id="rId201" Type="http://schemas.openxmlformats.org/officeDocument/2006/relationships/hyperlink" Target="https://coopseurope.coop/events/" TargetMode="External"/><Relationship Id="rId202" Type="http://schemas.openxmlformats.org/officeDocument/2006/relationships/hyperlink" Target="https://copa-cogeca.eu/events" TargetMode="External"/><Relationship Id="rId203" Type="http://schemas.openxmlformats.org/officeDocument/2006/relationships/hyperlink" Target="https://www.csreurope.org/events" TargetMode="External"/><Relationship Id="rId204" Type="http://schemas.openxmlformats.org/officeDocument/2006/relationships/hyperlink" Target="https://www.cybersecuritycoalition.be/events/" TargetMode="External"/><Relationship Id="rId205" Type="http://schemas.openxmlformats.org/officeDocument/2006/relationships/hyperlink" Target="https://www.digitalsme.eu/events/" TargetMode="External"/><Relationship Id="rId206" Type="http://schemas.openxmlformats.org/officeDocument/2006/relationships/hyperlink" Target="https://www.digitaleurope.org/events/" TargetMode="External"/><Relationship Id="rId207" Type="http://schemas.openxmlformats.org/officeDocument/2006/relationships/hyperlink" Target="https://doteurope.eu/" TargetMode="External"/><Relationship Id="rId208" Type="http://schemas.openxmlformats.org/officeDocument/2006/relationships/hyperlink" Target="https://www.ebaa.org/events" TargetMode="External"/><Relationship Id="rId209" Type="http://schemas.openxmlformats.org/officeDocument/2006/relationships/hyperlink" Target="https://ecsa.eu/ecsa-events/" TargetMode="External"/><Relationship Id="rId210" Type="http://schemas.openxmlformats.org/officeDocument/2006/relationships/hyperlink" Target="https://www.digitalfinancesummit.com/" TargetMode="External"/><Relationship Id="rId211" Type="http://schemas.openxmlformats.org/officeDocument/2006/relationships/hyperlink" Target="https://www.efama.org/events" TargetMode="External"/><Relationship Id="rId212" Type="http://schemas.openxmlformats.org/officeDocument/2006/relationships/hyperlink" Target="https://www.efpia.eu/news-events/events/" TargetMode="External"/><Relationship Id="rId213" Type="http://schemas.openxmlformats.org/officeDocument/2006/relationships/hyperlink" Target="https://www.egec.org/events/" TargetMode="External"/><Relationship Id="rId214" Type="http://schemas.openxmlformats.org/officeDocument/2006/relationships/hyperlink" Target="https://ease-storage.eu/events/" TargetMode="External"/><Relationship Id="rId215" Type="http://schemas.openxmlformats.org/officeDocument/2006/relationships/hyperlink" Target="https://www.epaca.org/" TargetMode="External"/><Relationship Id="rId216" Type="http://schemas.openxmlformats.org/officeDocument/2006/relationships/hyperlink" Target="https://paymentinstitutions.eu/all-events/" TargetMode="External"/><Relationship Id="rId217" Type="http://schemas.openxmlformats.org/officeDocument/2006/relationships/hyperlink" Target="https://eref-europe.org/events/category/events/" TargetMode="External"/><Relationship Id="rId218" Type="http://schemas.openxmlformats.org/officeDocument/2006/relationships/hyperlink" Target="https://www.wsbi-esbg.org/events" TargetMode="External"/><Relationship Id="rId219" Type="http://schemas.openxmlformats.org/officeDocument/2006/relationships/hyperlink" Target="https://etaf.tax/conferences/" TargetMode="External"/><Relationship Id="rId220" Type="http://schemas.openxmlformats.org/officeDocument/2006/relationships/hyperlink" Target="https://www.etsi.org/events" TargetMode="External"/><Relationship Id="rId221" Type="http://schemas.openxmlformats.org/officeDocument/2006/relationships/hyperlink" Target="https://www.eu-japan.eu/events" TargetMode="External"/><Relationship Id="rId222" Type="http://schemas.openxmlformats.org/officeDocument/2006/relationships/hyperlink" Target="https://www.linkedin.com/company/euji/" TargetMode="External"/><Relationship Id="rId223" Type="http://schemas.openxmlformats.org/officeDocument/2006/relationships/hyperlink" Target="https://www.eulatinbusinessforum.eu/events" TargetMode="External"/><Relationship Id="rId224" Type="http://schemas.openxmlformats.org/officeDocument/2006/relationships/hyperlink" Target="https://euratex.eu/events/" TargetMode="External"/><Relationship Id="rId225" Type="http://schemas.openxmlformats.org/officeDocument/2006/relationships/hyperlink" Target="https://www.eureau.org/" TargetMode="External"/><Relationship Id="rId226" Type="http://schemas.openxmlformats.org/officeDocument/2006/relationships/hyperlink" Target="https://www.eurec.be/events/" TargetMode="External"/><Relationship Id="rId227" Type="http://schemas.openxmlformats.org/officeDocument/2006/relationships/hyperlink" Target="https://www.eurelectric.org/events/" TargetMode="External"/><Relationship Id="rId228" Type="http://schemas.openxmlformats.org/officeDocument/2006/relationships/hyperlink" Target="https://www.eurochambres.eu/events/" TargetMode="External"/><Relationship Id="rId229" Type="http://schemas.openxmlformats.org/officeDocument/2006/relationships/hyperlink" Target="https://www.eurocommerce.eu/events/" TargetMode="External"/><Relationship Id="rId230" Type="http://schemas.openxmlformats.org/officeDocument/2006/relationships/hyperlink" Target="https://www.eurofer.eu/events/" TargetMode="External"/><Relationship Id="rId231" Type="http://schemas.openxmlformats.org/officeDocument/2006/relationships/hyperlink" Target="https://www.eurogas.org/events/" TargetMode="External"/><Relationship Id="rId232" Type="http://schemas.openxmlformats.org/officeDocument/2006/relationships/hyperlink" Target="https://www.euroheat.org/events" TargetMode="External"/><Relationship Id="rId233" Type="http://schemas.openxmlformats.org/officeDocument/2006/relationships/hyperlink" Target="https://eurometaux.eu/events/" TargetMode="External"/><Relationship Id="rId234" Type="http://schemas.openxmlformats.org/officeDocument/2006/relationships/hyperlink" Target="https://euromines.org/events" TargetMode="External"/><Relationship Id="rId235" Type="http://schemas.openxmlformats.org/officeDocument/2006/relationships/hyperlink" Target="https://www.europabio.org/events/" TargetMode="External"/><Relationship Id="rId236" Type="http://schemas.openxmlformats.org/officeDocument/2006/relationships/hyperlink" Target="https://european-aluminium.eu/resource-hub/news-events/" TargetMode="External"/><Relationship Id="rId237" Type="http://schemas.openxmlformats.org/officeDocument/2006/relationships/hyperlink" Target="https://uroweb.org/education-events/events" TargetMode="External"/><Relationship Id="rId238" Type="http://schemas.openxmlformats.org/officeDocument/2006/relationships/hyperlink" Target="https://www.ebf.eu/events/" TargetMode="External"/><Relationship Id="rId239" Type="http://schemas.openxmlformats.org/officeDocument/2006/relationships/hyperlink" Target="https://www.europeanbiogas.eu/events/" TargetMode="External"/><Relationship Id="rId240" Type="http://schemas.openxmlformats.org/officeDocument/2006/relationships/hyperlink" Target="https://www.european-entrepreneurs.org/events" TargetMode="External"/><Relationship Id="rId241" Type="http://schemas.openxmlformats.org/officeDocument/2006/relationships/hyperlink" Target="https://europeanjusticeforum.org/events/" TargetMode="External"/><Relationship Id="rId242" Type="http://schemas.openxmlformats.org/officeDocument/2006/relationships/hyperlink" Target="https://europeanlandowners.org/events" TargetMode="External"/><Relationship Id="rId243" Type="http://schemas.openxmlformats.org/officeDocument/2006/relationships/hyperlink" Target="https://ert.eu/" TargetMode="External"/><Relationship Id="rId244" Type="http://schemas.openxmlformats.org/officeDocument/2006/relationships/hyperlink" Target="https://eustafor.eu/" TargetMode="External"/><Relationship Id="rId245" Type="http://schemas.openxmlformats.org/officeDocument/2006/relationships/hyperlink" Target="https://fair-standards.org/" TargetMode="External"/><Relationship Id="rId246" Type="http://schemas.openxmlformats.org/officeDocument/2006/relationships/hyperlink" Target="https://fead.be/events/" TargetMode="External"/><Relationship Id="rId247" Type="http://schemas.openxmlformats.org/officeDocument/2006/relationships/hyperlink" Target="https://febea.org/" TargetMode="External"/><Relationship Id="rId248" Type="http://schemas.openxmlformats.org/officeDocument/2006/relationships/hyperlink" Target="https://fefac.eu/newsroom/events/" TargetMode="External"/><Relationship Id="rId249" Type="http://schemas.openxmlformats.org/officeDocument/2006/relationships/hyperlink" Target="https://www.fertilizerseurope.com/events/" TargetMode="External"/><Relationship Id="rId250" Type="http://schemas.openxmlformats.org/officeDocument/2006/relationships/hyperlink" Target="https://www.fese.eu/events/" TargetMode="External"/><Relationship Id="rId251" Type="http://schemas.openxmlformats.org/officeDocument/2006/relationships/hyperlink" Target="https://www.fiaregion1.com/events/" TargetMode="External"/><Relationship Id="rId252" Type="http://schemas.openxmlformats.org/officeDocument/2006/relationships/hyperlink" Target="https://www.figiefa.eu/en/events.html" TargetMode="External"/><Relationship Id="rId253" Type="http://schemas.openxmlformats.org/officeDocument/2006/relationships/hyperlink" Target="https://www.fooddrinkeurope.eu/events/" TargetMode="External"/><Relationship Id="rId254" Type="http://schemas.openxmlformats.org/officeDocument/2006/relationships/hyperlink" Target="https://www.fuelseurope.eu/events" TargetMode="External"/><Relationship Id="rId255" Type="http://schemas.openxmlformats.org/officeDocument/2006/relationships/hyperlink" Target="https://gbbc.io/events" TargetMode="External"/><Relationship Id="rId256" Type="http://schemas.openxmlformats.org/officeDocument/2006/relationships/hyperlink" Target="https://www.gdv.de/gdv-en" TargetMode="External"/><Relationship Id="rId257" Type="http://schemas.openxmlformats.org/officeDocument/2006/relationships/hyperlink" Target="https://www.geode-eu.org/events/" TargetMode="External"/><Relationship Id="rId258" Type="http://schemas.openxmlformats.org/officeDocument/2006/relationships/hyperlink" Target="https://globalplatform.org/events/" TargetMode="External"/><Relationship Id="rId259" Type="http://schemas.openxmlformats.org/officeDocument/2006/relationships/hyperlink" Target="https://www.gsma.com/events/" TargetMode="External"/><Relationship Id="rId260" Type="http://schemas.openxmlformats.org/officeDocument/2006/relationships/hyperlink" Target="https://hydrogeneurope.eu/events/" TargetMode="External"/><Relationship Id="rId261" Type="http://schemas.openxmlformats.org/officeDocument/2006/relationships/hyperlink" Target="https://iabeurope.eu/events/" TargetMode="External"/><Relationship Id="rId262" Type="http://schemas.openxmlformats.org/officeDocument/2006/relationships/hyperlink" Target="https://www.iata.org/en/events/" TargetMode="External"/><Relationship Id="rId263" Type="http://schemas.openxmlformats.org/officeDocument/2006/relationships/hyperlink" Target="https://www.ifieceurope.org/" TargetMode="External"/><Relationship Id="rId264" Type="http://schemas.openxmlformats.org/officeDocument/2006/relationships/hyperlink" Target="https://www.independentretaileurope.eu/" TargetMode="External"/><Relationship Id="rId265" Type="http://schemas.openxmlformats.org/officeDocument/2006/relationships/hyperlink" Target="https://www.insuranceeurope.eu/events" TargetMode="External"/><Relationship Id="rId266" Type="http://schemas.openxmlformats.org/officeDocument/2006/relationships/hyperlink" Target="https://iogpeurope.org/events/" TargetMode="External"/><Relationship Id="rId267" Type="http://schemas.openxmlformats.org/officeDocument/2006/relationships/hyperlink" Target="https://ipeurope.org/events/" TargetMode="External"/><Relationship Id="rId268" Type="http://schemas.openxmlformats.org/officeDocument/2006/relationships/hyperlink" Target="https://www.iru.org/events" TargetMode="External"/><Relationship Id="rId269" Type="http://schemas.openxmlformats.org/officeDocument/2006/relationships/hyperlink" Target="https://www.chimicaverdelombardia.it/" TargetMode="External"/><Relationship Id="rId270" Type="http://schemas.openxmlformats.org/officeDocument/2006/relationships/hyperlink" Target="https://www.medef.com/" TargetMode="External"/><Relationship Id="rId271" Type="http://schemas.openxmlformats.org/officeDocument/2006/relationships/hyperlink" Target="https://www.medicinesforeurope.com/events/" TargetMode="External"/><Relationship Id="rId272" Type="http://schemas.openxmlformats.org/officeDocument/2006/relationships/hyperlink" Target="https://www.medtecheurope.org/news-and-events/events/" TargetMode="External"/><Relationship Id="rId273" Type="http://schemas.openxmlformats.org/officeDocument/2006/relationships/hyperlink" Target="https://www.nbn.be/nieuws/kalender" TargetMode="External"/><Relationship Id="rId274" Type="http://schemas.openxmlformats.org/officeDocument/2006/relationships/hyperlink" Target="https://orgalim.eu/events" TargetMode="External"/><Relationship Id="rId275" Type="http://schemas.openxmlformats.org/officeDocument/2006/relationships/hyperlink" Target="https://www.pensionseurope.eu/events" TargetMode="External"/><Relationship Id="rId276" Type="http://schemas.openxmlformats.org/officeDocument/2006/relationships/hyperlink" Target="https://plasticseurope.org/events/" TargetMode="External"/><Relationship Id="rId277" Type="http://schemas.openxmlformats.org/officeDocument/2006/relationships/hyperlink" Target="https://pac.org/events" TargetMode="External"/><Relationship Id="rId278" Type="http://schemas.openxmlformats.org/officeDocument/2006/relationships/hyperlink" Target="https://renewableh2.eu/" TargetMode="External"/><Relationship Id="rId279" Type="http://schemas.openxmlformats.org/officeDocument/2006/relationships/hyperlink" Target="https://sea-lng.org/" TargetMode="External"/><Relationship Id="rId280" Type="http://schemas.openxmlformats.org/officeDocument/2006/relationships/hyperlink" Target="https://seap.be/events/" TargetMode="External"/><Relationship Id="rId281" Type="http://schemas.openxmlformats.org/officeDocument/2006/relationships/hyperlink" Target="https://smarten.eu/events/" TargetMode="External"/><Relationship Id="rId282" Type="http://schemas.openxmlformats.org/officeDocument/2006/relationships/hyperlink" Target="https://www.smeconnect.eu/events" TargetMode="External"/><Relationship Id="rId283" Type="http://schemas.openxmlformats.org/officeDocument/2006/relationships/hyperlink" Target="https://www.smeeurope.eu/events/" TargetMode="External"/><Relationship Id="rId284" Type="http://schemas.openxmlformats.org/officeDocument/2006/relationships/hyperlink" Target="https://www.smeunited.eu/events" TargetMode="External"/><Relationship Id="rId285" Type="http://schemas.openxmlformats.org/officeDocument/2006/relationships/hyperlink" Target="https://solarheateurope.eu/events/" TargetMode="External"/><Relationship Id="rId286" Type="http://schemas.openxmlformats.org/officeDocument/2006/relationships/hyperlink" Target="https://www.solarpowereurope.org/events" TargetMode="External"/><Relationship Id="rId287" Type="http://schemas.openxmlformats.org/officeDocument/2006/relationships/hyperlink" Target="https://www.norrsken.org/" TargetMode="External"/><Relationship Id="rId288" Type="http://schemas.openxmlformats.org/officeDocument/2006/relationships/hyperlink" Target="https://www.unife.org/events/" TargetMode="External"/><Relationship Id="rId289" Type="http://schemas.openxmlformats.org/officeDocument/2006/relationships/hyperlink" Target="https://www.vaccineseurope.eu/media-hub/events/" TargetMode="External"/><Relationship Id="rId290" Type="http://schemas.openxmlformats.org/officeDocument/2006/relationships/hyperlink" Target="https://watereurope.eu/events/" TargetMode="External"/><Relationship Id="rId291" Type="http://schemas.openxmlformats.org/officeDocument/2006/relationships/hyperlink" Target="https://windeurope.org/events/" TargetMode="External"/><Relationship Id="rId292" Type="http://schemas.openxmlformats.org/officeDocument/2006/relationships/hyperlink" Target="https://www.accessnow.org/events/" TargetMode="External"/><Relationship Id="rId293" Type="http://schemas.openxmlformats.org/officeDocument/2006/relationships/hyperlink" Target="https://www.age-platform.eu/events/" TargetMode="External"/><Relationship Id="rId294" Type="http://schemas.openxmlformats.org/officeDocument/2006/relationships/hyperlink" Target="https://www.all-can.org/news/" TargetMode="External"/><Relationship Id="rId295" Type="http://schemas.openxmlformats.org/officeDocument/2006/relationships/hyperlink" Target="https://www.amnesty.eu/" TargetMode="External"/><Relationship Id="rId296" Type="http://schemas.openxmlformats.org/officeDocument/2006/relationships/hyperlink" Target="https://anec.eu/news-events/" TargetMode="External"/><Relationship Id="rId297" Type="http://schemas.openxmlformats.org/officeDocument/2006/relationships/hyperlink" Target="https://eu.bellona.org/events/" TargetMode="External"/><Relationship Id="rId298" Type="http://schemas.openxmlformats.org/officeDocument/2006/relationships/hyperlink" Target="https://betterfinance.eu/events/" TargetMode="External"/><Relationship Id="rId299" Type="http://schemas.openxmlformats.org/officeDocument/2006/relationships/hyperlink" Target="https://www.beuc.eu/events" TargetMode="External"/><Relationship Id="rId300" Type="http://schemas.openxmlformats.org/officeDocument/2006/relationships/hyperlink" Target="https://www.birdlife.org/europe-and-central-asia/" TargetMode="External"/><Relationship Id="rId301" Type="http://schemas.openxmlformats.org/officeDocument/2006/relationships/hyperlink" Target="https://caneurope.org/events/" TargetMode="External"/><Relationship Id="rId302" Type="http://schemas.openxmlformats.org/officeDocument/2006/relationships/hyperlink" Target="https://carbongap.org/" TargetMode="External"/><Relationship Id="rId303" Type="http://schemas.openxmlformats.org/officeDocument/2006/relationships/hyperlink" Target="https://carbonmarketwatch.org/events/" TargetMode="External"/><Relationship Id="rId304" Type="http://schemas.openxmlformats.org/officeDocument/2006/relationships/hyperlink" Target="https://civilsocietyeurope.eu/events/" TargetMode="External"/><Relationship Id="rId305" Type="http://schemas.openxmlformats.org/officeDocument/2006/relationships/hyperlink" Target="https://www.cleanairfund.org/events/" TargetMode="External"/><Relationship Id="rId306" Type="http://schemas.openxmlformats.org/officeDocument/2006/relationships/hyperlink" Target="https://www.clientearth.org/latest/events/" TargetMode="External"/><Relationship Id="rId307" Type="http://schemas.openxmlformats.org/officeDocument/2006/relationships/hyperlink" Target="https://concordeurope.org/events/" TargetMode="External"/><Relationship Id="rId308" Type="http://schemas.openxmlformats.org/officeDocument/2006/relationships/hyperlink" Target="https://coolheatingcoalition.eu/event" TargetMode="External"/><Relationship Id="rId309" Type="http://schemas.openxmlformats.org/officeDocument/2006/relationships/hyperlink" Target="https://corporateeurope.org/en/events" TargetMode="External"/><Relationship Id="rId310" Type="http://schemas.openxmlformats.org/officeDocument/2006/relationships/hyperlink" Target="https://www.eapn.eu/events/" TargetMode="External"/><Relationship Id="rId311" Type="http://schemas.openxmlformats.org/officeDocument/2006/relationships/hyperlink" Target="https://ecostandard.org/news_events/" TargetMode="External"/><Relationship Id="rId312" Type="http://schemas.openxmlformats.org/officeDocument/2006/relationships/hyperlink" Target="https://ecre.org/events/" TargetMode="External"/><Relationship Id="rId313" Type="http://schemas.openxmlformats.org/officeDocument/2006/relationships/hyperlink" Target="https://edri.org/take-action/events/" TargetMode="External"/><Relationship Id="rId314" Type="http://schemas.openxmlformats.org/officeDocument/2006/relationships/hyperlink" Target="https://www.enar-eu.org/events/" TargetMode="External"/><Relationship Id="rId315" Type="http://schemas.openxmlformats.org/officeDocument/2006/relationships/hyperlink" Target="https://www.epsu.org/events" TargetMode="External"/><Relationship Id="rId316" Type="http://schemas.openxmlformats.org/officeDocument/2006/relationships/hyperlink" Target="https://www.esn.org/" TargetMode="External"/><Relationship Id="rId317" Type="http://schemas.openxmlformats.org/officeDocument/2006/relationships/hyperlink" Target="https://www.etuc.org/en/events" TargetMode="External"/><Relationship Id="rId318" Type="http://schemas.openxmlformats.org/officeDocument/2006/relationships/hyperlink" Target="https://www.etui.org/events" TargetMode="External"/><Relationship Id="rId319" Type="http://schemas.openxmlformats.org/officeDocument/2006/relationships/hyperlink" Target="https://eurochild.org/events/" TargetMode="External"/><Relationship Id="rId320" Type="http://schemas.openxmlformats.org/officeDocument/2006/relationships/hyperlink" Target="https://www.euroconsumers.org/events" TargetMode="External"/><Relationship Id="rId321" Type="http://schemas.openxmlformats.org/officeDocument/2006/relationships/hyperlink" Target="https://www.eurodad.org/" TargetMode="External"/><Relationship Id="rId322" Type="http://schemas.openxmlformats.org/officeDocument/2006/relationships/hyperlink" Target="https://www.eurogroupforanimals.org/events" TargetMode="External"/><Relationship Id="rId323" Type="http://schemas.openxmlformats.org/officeDocument/2006/relationships/hyperlink" Target="https://eurohealthnet.eu/events/" TargetMode="External"/><Relationship Id="rId324" Type="http://schemas.openxmlformats.org/officeDocument/2006/relationships/hyperlink" Target="https://europeancancerforum.eu/" TargetMode="External"/><Relationship Id="rId325" Type="http://schemas.openxmlformats.org/officeDocument/2006/relationships/hyperlink" Target="https://www.europeancancer.org/events" TargetMode="External"/><Relationship Id="rId326" Type="http://schemas.openxmlformats.org/officeDocument/2006/relationships/hyperlink" Target="https://ecf.com/events" TargetMode="External"/><Relationship Id="rId327" Type="http://schemas.openxmlformats.org/officeDocument/2006/relationships/hyperlink" Target="https://www.edf-feph.org/events/" TargetMode="External"/><Relationship Id="rId328" Type="http://schemas.openxmlformats.org/officeDocument/2006/relationships/hyperlink" Target="https://eeb.org/events/" TargetMode="External"/><Relationship Id="rId329" Type="http://schemas.openxmlformats.org/officeDocument/2006/relationships/hyperlink" Target="https://www.european-microfinance.org/events" TargetMode="External"/><Relationship Id="rId330" Type="http://schemas.openxmlformats.org/officeDocument/2006/relationships/hyperlink" Target="https://europeanmovement.eu/events/" TargetMode="External"/><Relationship Id="rId331" Type="http://schemas.openxmlformats.org/officeDocument/2006/relationships/hyperlink" Target="https://www.eu-patient.eu/events/" TargetMode="External"/><Relationship Id="rId332" Type="http://schemas.openxmlformats.org/officeDocument/2006/relationships/hyperlink" Target="https://epha.org/events/" TargetMode="External"/><Relationship Id="rId333" Type="http://schemas.openxmlformats.org/officeDocument/2006/relationships/hyperlink" Target="https://womenlobby.org/events-news/" TargetMode="External"/><Relationship Id="rId334" Type="http://schemas.openxmlformats.org/officeDocument/2006/relationships/hyperlink" Target="https://www.youthforum.org/events" TargetMode="External"/><Relationship Id="rId335" Type="http://schemas.openxmlformats.org/officeDocument/2006/relationships/hyperlink" Target="https://eyp.org/" TargetMode="External"/><Relationship Id="rId336" Type="http://schemas.openxmlformats.org/officeDocument/2006/relationships/hyperlink" Target="https://www.eurordis.org/category/events/" TargetMode="External"/><Relationship Id="rId337" Type="http://schemas.openxmlformats.org/officeDocument/2006/relationships/hyperlink" Target="https://www.eurofoodbank.org/events/" TargetMode="External"/><Relationship Id="rId338" Type="http://schemas.openxmlformats.org/officeDocument/2006/relationships/hyperlink" Target="https://fidemocracy.org/" TargetMode="External"/><Relationship Id="rId339" Type="http://schemas.openxmlformats.org/officeDocument/2006/relationships/hyperlink" Target="https://www.finance-watch.org/events/" TargetMode="External"/><Relationship Id="rId340" Type="http://schemas.openxmlformats.org/officeDocument/2006/relationships/hyperlink" Target="https://finnova.eu/" TargetMode="External"/><Relationship Id="rId341" Type="http://schemas.openxmlformats.org/officeDocument/2006/relationships/hyperlink" Target="https://friendsoftheearth.eu/" TargetMode="External"/><Relationship Id="rId342" Type="http://schemas.openxmlformats.org/officeDocument/2006/relationships/hyperlink" Target="https://globalrightscompliance.org/events/" TargetMode="External"/><Relationship Id="rId343" Type="http://schemas.openxmlformats.org/officeDocument/2006/relationships/hyperlink" Target="https://www.greenpeace.org/eu-unit/" TargetMode="External"/><Relationship Id="rId344" Type="http://schemas.openxmlformats.org/officeDocument/2006/relationships/hyperlink" Target="https://www.gstc.org/events/upcoming-events/" TargetMode="External"/><Relationship Id="rId345" Type="http://schemas.openxmlformats.org/officeDocument/2006/relationships/hyperlink" Target="https://www.housingeurope.eu/events" TargetMode="External"/><Relationship Id="rId346" Type="http://schemas.openxmlformats.org/officeDocument/2006/relationships/hyperlink" Target="https://www.hrw.org/events" TargetMode="External"/><Relationship Id="rId347" Type="http://schemas.openxmlformats.org/officeDocument/2006/relationships/hyperlink" Target="https://www.organicseurope.bio/events/" TargetMode="External"/><Relationship Id="rId348" Type="http://schemas.openxmlformats.org/officeDocument/2006/relationships/hyperlink" Target="https://www.ilga-europe.org/annual-conference-2026/" TargetMode="External"/><Relationship Id="rId349" Type="http://schemas.openxmlformats.org/officeDocument/2006/relationships/hyperlink" Target="https://agenda.industriall-europe.eu/calendar" TargetMode="External"/><Relationship Id="rId350" Type="http://schemas.openxmlformats.org/officeDocument/2006/relationships/hyperlink" Target="https://www.liberties.eu/en" TargetMode="External"/><Relationship Id="rId351" Type="http://schemas.openxmlformats.org/officeDocument/2006/relationships/hyperlink" Target="https://www.nef-europe.org/" TargetMode="External"/><Relationship Id="rId352" Type="http://schemas.openxmlformats.org/officeDocument/2006/relationships/hyperlink" Target="https://www.one.org/" TargetMode="External"/><Relationship Id="rId353" Type="http://schemas.openxmlformats.org/officeDocument/2006/relationships/hyperlink" Target="https://www.oxfam.org/en/europe" TargetMode="External"/><Relationship Id="rId354" Type="http://schemas.openxmlformats.org/officeDocument/2006/relationships/hyperlink" Target="https://picum.org/events/" TargetMode="External"/><Relationship Id="rId355" Type="http://schemas.openxmlformats.org/officeDocument/2006/relationships/hyperlink" Target="https://www.rescoop.eu/news-and-events/events" TargetMode="External"/><Relationship Id="rId356" Type="http://schemas.openxmlformats.org/officeDocument/2006/relationships/hyperlink" Target="https://www.savethechildren.net/" TargetMode="External"/><Relationship Id="rId357" Type="http://schemas.openxmlformats.org/officeDocument/2006/relationships/hyperlink" Target="https://seas-at-risk.org/events/" TargetMode="External"/><Relationship Id="rId358" Type="http://schemas.openxmlformats.org/officeDocument/2006/relationships/hyperlink" Target="https://www.slowfood.com/events/" TargetMode="External"/><Relationship Id="rId359" Type="http://schemas.openxmlformats.org/officeDocument/2006/relationships/hyperlink" Target="https://www.socialplatform.org/events/" TargetMode="External"/><Relationship Id="rId360" Type="http://schemas.openxmlformats.org/officeDocument/2006/relationships/hyperlink" Target="https://thegoodlobby.eu/category/events/" TargetMode="External"/><Relationship Id="rId361" Type="http://schemas.openxmlformats.org/officeDocument/2006/relationships/hyperlink" Target="https://transparency.eu/events/" TargetMode="External"/><Relationship Id="rId362" Type="http://schemas.openxmlformats.org/officeDocument/2006/relationships/hyperlink" Target="https://www.transportenvironment.org/events" TargetMode="External"/><Relationship Id="rId363" Type="http://schemas.openxmlformats.org/officeDocument/2006/relationships/hyperlink" Target="https://www.uni-europa.org/meetings/" TargetMode="External"/><Relationship Id="rId364" Type="http://schemas.openxmlformats.org/officeDocument/2006/relationships/hyperlink" Target="https://federalists.eu/events/" TargetMode="External"/><Relationship Id="rId365" Type="http://schemas.openxmlformats.org/officeDocument/2006/relationships/hyperlink" Target="https://www.wwf.eu/wwf_news/events/" TargetMode="External"/><Relationship Id="rId366" Type="http://schemas.openxmlformats.org/officeDocument/2006/relationships/hyperlink" Target="https://jef.eu/events/" TargetMode="External"/><Relationship Id="rId367" Type="http://schemas.openxmlformats.org/officeDocument/2006/relationships/hyperlink" Target="https://zerowasteeurope.eu/events/" TargetMode="External"/><Relationship Id="rId368" Type="http://schemas.openxmlformats.org/officeDocument/2006/relationships/hyperlink" Target="https://www.bayern.de/staatskanzlei/bayerns-vertretung-bei-der-eu/" TargetMode="External"/><Relationship Id="rId369" Type="http://schemas.openxmlformats.org/officeDocument/2006/relationships/hyperlink" Target="https://ccre-cemr.org/calendar" TargetMode="External"/><Relationship Id="rId370" Type="http://schemas.openxmlformats.org/officeDocument/2006/relationships/hyperlink" Target="https://www.climatealliance.org/news-events/" TargetMode="External"/><Relationship Id="rId371" Type="http://schemas.openxmlformats.org/officeDocument/2006/relationships/hyperlink" Target="https://cpmr.org/events/" TargetMode="External"/><Relationship Id="rId372" Type="http://schemas.openxmlformats.org/officeDocument/2006/relationships/hyperlink" Target="https://exteriors.gencat.cat/en/ambits-dactuacio/afers-exteriors/delegacions-govern/ue/" TargetMode="External"/><Relationship Id="rId373" Type="http://schemas.openxmlformats.org/officeDocument/2006/relationships/hyperlink" Target="https://endr.eu/" TargetMode="External"/><Relationship Id="rId374" Type="http://schemas.openxmlformats.org/officeDocument/2006/relationships/hyperlink" Target="https://energy-cities.eu/events/" TargetMode="External"/><Relationship Id="rId375" Type="http://schemas.openxmlformats.org/officeDocument/2006/relationships/hyperlink" Target="https://www.eurashe.eu/events/" TargetMode="External"/><Relationship Id="rId376" Type="http://schemas.openxmlformats.org/officeDocument/2006/relationships/hyperlink" Target="https://eurocities.eu/events/" TargetMode="External"/><Relationship Id="rId377" Type="http://schemas.openxmlformats.org/officeDocument/2006/relationships/hyperlink" Target="https://www.esn-eu.org/events" TargetMode="External"/><Relationship Id="rId378" Type="http://schemas.openxmlformats.org/officeDocument/2006/relationships/hyperlink" Target="https://www.vlaanderen.be/en/authorities/flanders-and-the-eu" TargetMode="External"/><Relationship Id="rId379" Type="http://schemas.openxmlformats.org/officeDocument/2006/relationships/hyperlink" Target="https://staatskanzlei.hessen.de/" TargetMode="External"/><Relationship Id="rId380" Type="http://schemas.openxmlformats.org/officeDocument/2006/relationships/hyperlink" Target="https://iclei-europe.org/events/" TargetMode="External"/><Relationship Id="rId381" Type="http://schemas.openxmlformats.org/officeDocument/2006/relationships/hyperlink" Target="https://ue.delegfrance.org/" TargetMode="External"/><Relationship Id="rId382" Type="http://schemas.openxmlformats.org/officeDocument/2006/relationships/hyperlink" Target="https://bruessel-eu.diplo.de/" TargetMode="External"/><Relationship Id="rId383" Type="http://schemas.openxmlformats.org/officeDocument/2006/relationships/hyperlink" Target="https://www.ireland.ie/en/eu/brussels/" TargetMode="External"/><Relationship Id="rId384" Type="http://schemas.openxmlformats.org/officeDocument/2006/relationships/hyperlink" Target="https://italiaue.esteri.it/" TargetMode="External"/><Relationship Id="rId385" Type="http://schemas.openxmlformats.org/officeDocument/2006/relationships/hyperlink" Target="https://www.gov.pl/web/eu" TargetMode="External"/><Relationship Id="rId386" Type="http://schemas.openxmlformats.org/officeDocument/2006/relationships/hyperlink" Target="https://www.netherlandsandyou.nl/web/pr-eu-brussels" TargetMode="External"/><Relationship Id="rId387" Type="http://schemas.openxmlformats.org/officeDocument/2006/relationships/hyperlink" Target="https://www.southsweden.eu/" TargetMode="External"/><Relationship Id="rId388" Type="http://schemas.openxmlformats.org/officeDocument/2006/relationships/hyperlink" Target="https://stm.baden-wuerttemberg.de/de/ministerium/landesvertretung-bruessel/" TargetMode="External"/><Relationship Id="rId389" Type="http://schemas.openxmlformats.org/officeDocument/2006/relationships/hyperlink" Target="https://www.land.nrw/landesvertretung-bruessel" TargetMode="External"/><Relationship Id="rId390" Type="http://schemas.openxmlformats.org/officeDocument/2006/relationships/hyperlink" Target="https://www.scotlandhouse.eu/" TargetMode="External"/><Relationship Id="rId391" Type="http://schemas.openxmlformats.org/officeDocument/2006/relationships/hyperlink" Target="https://www.socialeconomy.eu.org/events/" TargetMode="External"/><Relationship Id="rId392" Type="http://schemas.openxmlformats.org/officeDocument/2006/relationships/hyperlink" Target="https://www.booking.com/" TargetMode="External"/><Relationship Id="rId393" Type="http://schemas.openxmlformats.org/officeDocument/2006/relationships/hyperlink" Target="https://www.carbontrust.com/news-and-insights/events" TargetMode="External"/><Relationship Id="rId394" Type="http://schemas.openxmlformats.org/officeDocument/2006/relationships/hyperlink" Target="https://www.edenred.be/" TargetMode="External"/><Relationship Id="rId395" Type="http://schemas.openxmlformats.org/officeDocument/2006/relationships/hyperlink" Target="https://eunomia.eco/events/" TargetMode="External"/><Relationship Id="rId396" Type="http://schemas.openxmlformats.org/officeDocument/2006/relationships/hyperlink" Target="https://rsvp.withgoogle.com/" TargetMode="External"/><Relationship Id="rId397" Type="http://schemas.openxmlformats.org/officeDocument/2006/relationships/hyperlink" Target="https://www.theheinekencompany.com/" TargetMode="External"/><Relationship Id="rId398" Type="http://schemas.openxmlformats.org/officeDocument/2006/relationships/hyperlink" Target="https://www.incisivehealth.com/" TargetMode="External"/><Relationship Id="rId399" Type="http://schemas.openxmlformats.org/officeDocument/2006/relationships/hyperlink" Target="https://about.fb.com/europe/" TargetMode="External"/><Relationship Id="rId400" Type="http://schemas.openxmlformats.org/officeDocument/2006/relationships/hyperlink" Target="https://blogs.microsoft.com/eupolicy/microsoft-center-brussels/" TargetMode="External"/><Relationship Id="rId401" Type="http://schemas.openxmlformats.org/officeDocument/2006/relationships/hyperlink" Target="https://www.moylancommunications.com/" TargetMode="External"/><Relationship Id="rId402" Type="http://schemas.openxmlformats.org/officeDocument/2006/relationships/hyperlink" Target="https://www.partisan.be/" TargetMode="External"/><Relationship Id="rId403" Type="http://schemas.openxmlformats.org/officeDocument/2006/relationships/hyperlink" Target="https://www.pepsico.com/" TargetMode="External"/><Relationship Id="rId404" Type="http://schemas.openxmlformats.org/officeDocument/2006/relationships/hyperlink" Target="https://pexapark.com/events/" TargetMode="External"/><Relationship Id="rId405" Type="http://schemas.openxmlformats.org/officeDocument/2006/relationships/hyperlink" Target="https://www.publyon.com/" TargetMode="External"/><Relationship Id="rId406" Type="http://schemas.openxmlformats.org/officeDocument/2006/relationships/hyperlink" Target="https://agenceurope.eu/en/calendar-extra.html" TargetMode="External"/><Relationship Id="rId407" Type="http://schemas.openxmlformats.org/officeDocument/2006/relationships/hyperlink" Target="https://brusselsclimateweek.com/events/" TargetMode="External"/><Relationship Id="rId408" Type="http://schemas.openxmlformats.org/officeDocument/2006/relationships/hyperlink" Target="https://www.pressclub.be/events/" TargetMode="External"/><Relationship Id="rId409" Type="http://schemas.openxmlformats.org/officeDocument/2006/relationships/hyperlink" Target="https://event.brusselstimes.com/events-listing/" TargetMode="External"/><Relationship Id="rId410" Type="http://schemas.openxmlformats.org/officeDocument/2006/relationships/hyperlink" Target="https://www.concurrences.com/en/events/" TargetMode="External"/><Relationship Id="rId411" Type="http://schemas.openxmlformats.org/officeDocument/2006/relationships/hyperlink" Target="https://epfsf.org/events/" TargetMode="External"/><Relationship Id="rId412" Type="http://schemas.openxmlformats.org/officeDocument/2006/relationships/hyperlink" Target="https://euobserver.com/topic/agenda/" TargetMode="External"/><Relationship Id="rId413" Type="http://schemas.openxmlformats.org/officeDocument/2006/relationships/hyperlink" Target="https://events.euractiv.com/" TargetMode="External"/><Relationship Id="rId414" Type="http://schemas.openxmlformats.org/officeDocument/2006/relationships/hyperlink" Target="https://events.euronews.com/events" TargetMode="External"/><Relationship Id="rId415" Type="http://schemas.openxmlformats.org/officeDocument/2006/relationships/hyperlink" Target="https://ebsummits.eu/" TargetMode="External"/><Relationship Id="rId416" Type="http://schemas.openxmlformats.org/officeDocument/2006/relationships/hyperlink" Target="https://defencesecurityconference.eu/" TargetMode="External"/><Relationship Id="rId417" Type="http://schemas.openxmlformats.org/officeDocument/2006/relationships/hyperlink" Target="https://www.europeanenergyforum.eu/" TargetMode="External"/><Relationship Id="rId418" Type="http://schemas.openxmlformats.org/officeDocument/2006/relationships/hyperlink" Target="https://www.europeanfoodforum.eu/event-list" TargetMode="External"/><Relationship Id="rId419" Type="http://schemas.openxmlformats.org/officeDocument/2006/relationships/hyperlink" Target="https://www.internetforum.eu/events/events.html" TargetMode="External"/><Relationship Id="rId420" Type="http://schemas.openxmlformats.org/officeDocument/2006/relationships/hyperlink" Target="https://www.europarl.europa.eu/meps/en/about/groupings" TargetMode="External"/><Relationship Id="rId421" Type="http://schemas.openxmlformats.org/officeDocument/2006/relationships/hyperlink" Target="https://events.ft.com/events-list" TargetMode="External"/><Relationship Id="rId422" Type="http://schemas.openxmlformats.org/officeDocument/2006/relationships/hyperlink" Target="https://forum-europe.com/events" TargetMode="External"/><Relationship Id="rId423" Type="http://schemas.openxmlformats.org/officeDocument/2006/relationships/hyperlink" Target="https://forumforag.com/events" TargetMode="External"/><Relationship Id="rId424" Type="http://schemas.openxmlformats.org/officeDocument/2006/relationships/hyperlink" Target="https://buscardini.eu/events/" TargetMode="External"/><Relationship Id="rId425" Type="http://schemas.openxmlformats.org/officeDocument/2006/relationships/hyperlink" Target="https://health.ec.europa.eu/eu-health-policy/interest-groups/eu-health-policy-platform_en" TargetMode="External"/><Relationship Id="rId426" Type="http://schemas.openxmlformats.org/officeDocument/2006/relationships/hyperlink" Target="https://www.kangaroogroup.eu/" TargetMode="External"/><Relationship Id="rId427" Type="http://schemas.openxmlformats.org/officeDocument/2006/relationships/hyperlink" Target="https://www.lexxion.eu/en/events/" TargetMode="External"/><Relationship Id="rId428" Type="http://schemas.openxmlformats.org/officeDocument/2006/relationships/hyperlink" Target="https://www.politico.eu/politico-events/" TargetMode="External"/><Relationship Id="rId429" Type="http://schemas.openxmlformats.org/officeDocument/2006/relationships/hyperlink" Target="https://www.pubaffairsbruxelles.eu/event/" TargetMode="External"/><Relationship Id="rId430" Type="http://schemas.openxmlformats.org/officeDocument/2006/relationships/hyperlink" Target="https://www.public-affairs-summit.eu/" TargetMode="External"/><Relationship Id="rId431" Type="http://schemas.openxmlformats.org/officeDocument/2006/relationships/hyperlink" Target="https://www.residencepalace.be/" TargetMode="External"/><Relationship Id="rId432" Type="http://schemas.openxmlformats.org/officeDocument/2006/relationships/hyperlink" Target="https://sciencebusiness.net/events" TargetMode="External"/><Relationship Id="rId433" Type="http://schemas.openxmlformats.org/officeDocument/2006/relationships/hyperlink" Target="https://brussels.sustainableitdays.org/" TargetMode="External"/><Relationship Id="rId434" Type="http://schemas.openxmlformats.org/officeDocument/2006/relationships/hyperlink" Target="https://events.theparliamentmagazine.eu/" TargetMode="External"/><Relationship Id="rId435" Type="http://schemas.openxmlformats.org/officeDocument/2006/relationships/hyperlink" Target="https://agenda.rapporteur.com/" TargetMode="External"/><Relationship Id="rId436" Type="http://schemas.openxmlformats.org/officeDocument/2006/relationships/hyperlink" Target="https://luma.com/discover" TargetMode="External"/><Relationship Id="rId437" Type="http://schemas.openxmlformats.org/officeDocument/2006/relationships/hyperlink" Target="https://luma.com/discover" TargetMode="External"/><Relationship Id="rId438" Type="http://schemas.openxmlformats.org/officeDocument/2006/relationships/hyperlink" Target="https://brusselssustainabilityclub.eu/" TargetMode="External"/><Relationship Id="rId439" Type="http://schemas.openxmlformats.org/officeDocument/2006/relationships/hyperlink" Target="https://empower-eu.org/" TargetMode="External"/><Relationship Id="rId440" Type="http://schemas.openxmlformats.org/officeDocument/2006/relationships/hyperlink" Target="https://www.linkedin.com/company/eu-u/" TargetMode="External"/><Relationship Id="rId441" Type="http://schemas.openxmlformats.org/officeDocument/2006/relationships/hyperlink" Target="https://www.unya.be/" TargetMode="External"/><Relationship Id="rId442" Type="http://schemas.openxmlformats.org/officeDocument/2006/relationships/hyperlink" Target="https://wiisbrussels.org/" TargetMode="External"/><Relationship Id="rId443" Type="http://schemas.openxmlformats.org/officeDocument/2006/relationships/hyperlink" Target="https://www.yatabelgium.org/" TargetMode="External"/><Relationship Id="rId444" Type="http://schemas.openxmlformats.org/officeDocument/2006/relationships/hyperlink" Target="https://youngeuropeanleadership.eu/" TargetMode="External"/><Relationship Id="rId445" Type="http://schemas.openxmlformats.org/officeDocument/2006/relationships/hyperlink" Target="https://www.eurocontrol.int/events" TargetMode="External"/><Relationship Id="rId446" Type="http://schemas.openxmlformats.org/officeDocument/2006/relationships/hyperlink" Target="https://eurohealthobservatory.who.int/about-us/events" TargetMode="External"/><Relationship Id="rId447" Type="http://schemas.openxmlformats.org/officeDocument/2006/relationships/hyperlink" Target="https://www.esa.int/" TargetMode="External"/><Relationship Id="rId448" Type="http://schemas.openxmlformats.org/officeDocument/2006/relationships/hyperlink" Target="https://www.imf.org/en/News/SearchNews" TargetMode="External"/><Relationship Id="rId449" Type="http://schemas.openxmlformats.org/officeDocument/2006/relationships/hyperlink" Target="https://iucn.org/events" TargetMode="External"/><Relationship Id="rId450" Type="http://schemas.openxmlformats.org/officeDocument/2006/relationships/hyperlink" Target="https://www.nato.int/en/news-and-events/events" TargetMode="External"/><Relationship Id="rId451" Type="http://schemas.openxmlformats.org/officeDocument/2006/relationships/hyperlink" Target="https://www.oecd-events.org/en/events" TargetMode="External"/><Relationship Id="rId452" Type="http://schemas.openxmlformats.org/officeDocument/2006/relationships/hyperlink" Target="https://unric.org/en/" TargetMode="External"/><Relationship Id="rId453" Type="http://schemas.openxmlformats.org/officeDocument/2006/relationships/hyperlink" Target="https://www.unesco.org/en/fieldoffice/brussels" TargetMode="External"/><Relationship Id="rId454" Type="http://schemas.openxmlformats.org/officeDocument/2006/relationships/hyperlink" Target="https://www.who.int/europe/news-room/events" TargetMode="External"/><Relationship Id="rId455" Type="http://schemas.openxmlformats.org/officeDocument/2006/relationships/hyperlink" Target="https://www.worldbank.org/en/events" TargetMode="External"/><Relationship Id="rId456" Type="http://schemas.openxmlformats.org/officeDocument/2006/relationships/hyperlink" Target="https://blueadapt.eu/" TargetMode="External"/><Relationship Id="rId457" Type="http://schemas.openxmlformats.org/officeDocument/2006/relationships/hyperlink" Target="https://www.carina-project.eu/events" TargetMode="External"/><Relationship Id="rId458" Type="http://schemas.openxmlformats.org/officeDocument/2006/relationships/hyperlink" Target="https://www.circularinvest.eu/" TargetMode="External"/><Relationship Id="rId459" Type="http://schemas.openxmlformats.org/officeDocument/2006/relationships/hyperlink" Target="https://www.horizoncodecs.eu/events/" TargetMode="External"/><Relationship Id="rId460" Type="http://schemas.openxmlformats.org/officeDocument/2006/relationships/hyperlink" Target="https://cultivate-project.eu/events/" TargetMode="External"/><Relationship Id="rId461" Type="http://schemas.openxmlformats.org/officeDocument/2006/relationships/hyperlink" Target="https://digital4sustainability.eu/news-events/" TargetMode="External"/><Relationship Id="rId462" Type="http://schemas.openxmlformats.org/officeDocument/2006/relationships/hyperlink" Target="https://feasts-project.eu/" TargetMode="External"/><Relationship Id="rId463" Type="http://schemas.openxmlformats.org/officeDocument/2006/relationships/hyperlink" Target="https://www.gigagreen-project.eu/" TargetMode="External"/><Relationship Id="rId464" Type="http://schemas.openxmlformats.org/officeDocument/2006/relationships/hyperlink" Target="https://www.impac3tip.eu/events" TargetMode="External"/><Relationship Id="rId465" Type="http://schemas.openxmlformats.org/officeDocument/2006/relationships/hyperlink" Target="https://interreg-maritime.eu/" TargetMode="External"/><Relationship Id="rId466" Type="http://schemas.openxmlformats.org/officeDocument/2006/relationships/hyperlink" Target="https://justreno.eu/" TargetMode="External"/><Relationship Id="rId467" Type="http://schemas.openxmlformats.org/officeDocument/2006/relationships/hyperlink" Target="https://landsealot.eu/upcoming-past-events/" TargetMode="External"/><Relationship Id="rId468" Type="http://schemas.openxmlformats.org/officeDocument/2006/relationships/hyperlink" Target="https://eurohealthnet.eu/events/" TargetMode="External"/><Relationship Id="rId469" Type="http://schemas.openxmlformats.org/officeDocument/2006/relationships/hyperlink" Target="https://commons.ngi.eu/events/" TargetMode="External"/><Relationship Id="rId470" Type="http://schemas.openxmlformats.org/officeDocument/2006/relationships/hyperlink" Target="https://ocean-ice.eu/events/" TargetMode="External"/><Relationship Id="rId471" Type="http://schemas.openxmlformats.org/officeDocument/2006/relationships/hyperlink" Target="https://pink-project.eu/pink-meetings-events/pink-public-events/" TargetMode="External"/><Relationship Id="rId472" Type="http://schemas.openxmlformats.org/officeDocument/2006/relationships/hyperlink" Target="https://trans4num.eu/" TargetMode="External"/><Relationship Id="rId473" Type="http://schemas.openxmlformats.org/officeDocument/2006/relationships/hyperlink" Target="https://urbanbynature.eu/events" TargetMode="External"/><Relationship Id="rId474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1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1" t="s">
        <v>6</v>
      </c>
    </row>
    <row r="10" customFormat="false" ht="15" hidden="false" customHeight="false" outlineLevel="0" collapsed="false">
      <c r="A10" s="2" t="s">
        <v>7</v>
      </c>
      <c r="B10" s="2" t="n">
        <f aca="false">COUNTIF(Organisations!A:A,"1 EU institutions &amp; bodies")</f>
        <v>67</v>
      </c>
    </row>
    <row r="11" customFormat="false" ht="15" hidden="false" customHeight="false" outlineLevel="0" collapsed="false">
      <c r="A11" s="2" t="s">
        <v>8</v>
      </c>
      <c r="B11" s="2" t="n">
        <f aca="false">COUNTIF(Organisations!A:A,"2 Political groups, parties &amp; foundations")</f>
        <v>30</v>
      </c>
    </row>
    <row r="12" customFormat="false" ht="15" hidden="false" customHeight="false" outlineLevel="0" collapsed="false">
      <c r="A12" s="2" t="s">
        <v>9</v>
      </c>
      <c r="B12" s="2" t="n">
        <f aca="false">COUNTIF(Organisations!A:A,"3 Think tanks &amp; research")</f>
        <v>70</v>
      </c>
    </row>
    <row r="13" customFormat="false" ht="15" hidden="false" customHeight="false" outlineLevel="0" collapsed="false">
      <c r="A13" s="2" t="s">
        <v>10</v>
      </c>
      <c r="B13" s="2" t="n">
        <f aca="false">COUNTIF(Organisations!A:A,"4 Business, trade &amp; professional associations")</f>
        <v>124</v>
      </c>
    </row>
    <row r="14" customFormat="false" ht="15" hidden="false" customHeight="false" outlineLevel="0" collapsed="false">
      <c r="A14" s="2" t="s">
        <v>11</v>
      </c>
      <c r="B14" s="2" t="n">
        <f aca="false">COUNTIF(Organisations!A:A,"5 NGOs, civil society &amp; trade unions")</f>
        <v>76</v>
      </c>
    </row>
    <row r="15" customFormat="false" ht="15" hidden="false" customHeight="false" outlineLevel="0" collapsed="false">
      <c r="A15" s="2" t="s">
        <v>12</v>
      </c>
      <c r="B15" s="2" t="n">
        <f aca="false">COUNTIF(Organisations!A:A,"6 City/regional networks, regional offices &amp; national reps")</f>
        <v>24</v>
      </c>
    </row>
    <row r="16" customFormat="false" ht="15" hidden="false" customHeight="false" outlineLevel="0" collapsed="false">
      <c r="A16" s="2" t="s">
        <v>13</v>
      </c>
      <c r="B16" s="2" t="n">
        <f aca="false">COUNTIF(Organisations!A:A,"7 Companies, consultancies &amp; agencies")</f>
        <v>14</v>
      </c>
    </row>
    <row r="17" customFormat="false" ht="15" hidden="false" customHeight="false" outlineLevel="0" collapsed="false">
      <c r="A17" s="2" t="s">
        <v>14</v>
      </c>
      <c r="B17" s="2" t="n">
        <f aca="false">COUNTIF(Organisations!A:A,"8 Media, event organisers &amp; forums")</f>
        <v>30</v>
      </c>
    </row>
    <row r="18" customFormat="false" ht="15" hidden="false" customHeight="false" outlineLevel="0" collapsed="false">
      <c r="A18" s="2" t="s">
        <v>15</v>
      </c>
      <c r="B18" s="2" t="n">
        <f aca="false">COUNTIF(Organisations!A:A,"9 Networking communities")</f>
        <v>9</v>
      </c>
    </row>
    <row r="19" customFormat="false" ht="15" hidden="false" customHeight="false" outlineLevel="0" collapsed="false">
      <c r="A19" s="2" t="s">
        <v>16</v>
      </c>
      <c r="B19" s="2" t="n">
        <f aca="false">COUNTIF(Organisations!A:A,"10 International organisations")</f>
        <v>11</v>
      </c>
    </row>
    <row r="20" customFormat="false" ht="15" hidden="false" customHeight="false" outlineLevel="0" collapsed="false">
      <c r="A20" s="2" t="s">
        <v>17</v>
      </c>
      <c r="B20" s="2" t="n">
        <f aca="false">COUNTIF(Organisations!A:A,"11 EU-funded projects &amp; programmes")</f>
        <v>18</v>
      </c>
    </row>
    <row r="21" customFormat="false" ht="15" hidden="false" customHeight="false" outlineLevel="0" collapsed="false">
      <c r="A21" s="3" t="s">
        <v>18</v>
      </c>
      <c r="B21" s="3" t="n">
        <f aca="false">COUNTA(Organisations!B:B)-1</f>
        <v>473</v>
      </c>
    </row>
    <row r="22" customFormat="false" ht="15" hidden="false" customHeight="false" outlineLevel="0" collapsed="false">
      <c r="A22" s="2" t="s">
        <v>19</v>
      </c>
      <c r="B22" s="2" t="n">
        <f aca="false">COUNTIF(Organisations!F:F,"Yes")</f>
        <v>237</v>
      </c>
    </row>
    <row r="23" customFormat="false" ht="15" hidden="false" customHeight="false" outlineLevel="0" collapsed="false">
      <c r="A23" s="2" t="s">
        <v>20</v>
      </c>
      <c r="B23" s="2" t="n">
        <f aca="false">B21-B22</f>
        <v>236</v>
      </c>
    </row>
    <row r="24" customFormat="false" ht="15" hidden="false" customHeight="false" outlineLevel="0" collapsed="false">
      <c r="A24" s="2" t="s">
        <v>21</v>
      </c>
      <c r="B24" s="2" t="n">
        <f aca="false">COUNTIF('Meetings &amp; Events sources'!A:A,"MEETINGS*")</f>
        <v>46</v>
      </c>
    </row>
    <row r="25" customFormat="false" ht="15" hidden="false" customHeight="false" outlineLevel="0" collapsed="false">
      <c r="A25" s="2" t="s">
        <v>22</v>
      </c>
      <c r="B25" s="2" t="n">
        <f aca="false">COUNTIF('Meetings &amp; Events sources'!A:A,"EVENTS*")</f>
        <v>19</v>
      </c>
    </row>
    <row r="27" customFormat="false" ht="15" hidden="false" customHeight="false" outlineLevel="0" collapsed="false">
      <c r="A27" s="1" t="s">
        <v>23</v>
      </c>
    </row>
    <row r="28" customFormat="false" ht="23.85" hidden="false" customHeight="false" outlineLevel="0" collapsed="false">
      <c r="A28" s="4" t="s">
        <v>24</v>
      </c>
    </row>
    <row r="29" customFormat="false" ht="23.85" hidden="false" customHeight="false" outlineLevel="0" collapsed="false">
      <c r="A29" s="4" t="s">
        <v>25</v>
      </c>
    </row>
    <row r="30" customFormat="false" ht="23.85" hidden="false" customHeight="false" outlineLevel="0" collapsed="false">
      <c r="A30" s="4" t="s">
        <v>26</v>
      </c>
    </row>
    <row r="31" customFormat="false" ht="15" hidden="false" customHeight="false" outlineLevel="0" collapsed="false">
      <c r="A31" s="4" t="s">
        <v>27</v>
      </c>
    </row>
    <row r="32" customFormat="false" ht="23.85" hidden="false" customHeight="false" outlineLevel="0" collapsed="false">
      <c r="A32" s="4" t="s">
        <v>28</v>
      </c>
    </row>
    <row r="33" customFormat="false" ht="23.85" hidden="false" customHeight="false" outlineLevel="0" collapsed="false">
      <c r="A33" s="4" t="s">
        <v>29</v>
      </c>
    </row>
    <row r="34" customFormat="false" ht="15" hidden="false" customHeight="false" outlineLevel="0" collapsed="false">
      <c r="A34" s="4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8"/>
    <col collapsed="false" customWidth="true" hidden="false" outlineLevel="0" max="3" min="3" style="0" width="26"/>
    <col collapsed="false" customWidth="true" hidden="false" outlineLevel="0" max="4" min="4" style="0" width="50"/>
    <col collapsed="false" customWidth="true" hidden="false" outlineLevel="0" max="5" min="5" style="0" width="55"/>
    <col collapsed="false" customWidth="true" hidden="false" outlineLevel="0" max="6" min="6" style="0" width="10"/>
    <col collapsed="false" customWidth="true" hidden="false" outlineLevel="0" max="7" min="7" style="0" width="50"/>
    <col collapsed="false" customWidth="true" hidden="false" outlineLevel="0" max="8" min="8" style="0" width="22"/>
  </cols>
  <sheetData>
    <row r="1" customFormat="false" ht="15" hidden="false" customHeight="false" outlineLevel="0" collapsed="false">
      <c r="A1" s="5" t="s">
        <v>31</v>
      </c>
      <c r="B1" s="5" t="s">
        <v>32</v>
      </c>
      <c r="C1" s="5" t="s">
        <v>33</v>
      </c>
      <c r="D1" s="5" t="s">
        <v>34</v>
      </c>
      <c r="E1" s="5" t="s">
        <v>35</v>
      </c>
      <c r="F1" s="5" t="s">
        <v>36</v>
      </c>
      <c r="G1" s="5" t="s">
        <v>37</v>
      </c>
      <c r="H1" s="5" t="s">
        <v>38</v>
      </c>
    </row>
    <row r="2" customFormat="false" ht="46.25" hidden="false" customHeight="false" outlineLevel="0" collapsed="false">
      <c r="A2" s="6" t="s">
        <v>39</v>
      </c>
      <c r="B2" s="6" t="s">
        <v>40</v>
      </c>
      <c r="C2" s="6" t="s">
        <v>41</v>
      </c>
      <c r="D2" s="6" t="s">
        <v>42</v>
      </c>
      <c r="E2" s="6" t="s">
        <v>43</v>
      </c>
      <c r="F2" s="6" t="s">
        <v>44</v>
      </c>
      <c r="G2" s="7" t="s">
        <v>45</v>
      </c>
      <c r="H2" s="6" t="s">
        <v>46</v>
      </c>
    </row>
    <row r="3" customFormat="false" ht="23.85" hidden="false" customHeight="false" outlineLevel="0" collapsed="false">
      <c r="A3" s="6" t="s">
        <v>39</v>
      </c>
      <c r="B3" s="6" t="s">
        <v>47</v>
      </c>
      <c r="C3" s="6" t="s">
        <v>48</v>
      </c>
      <c r="D3" s="6" t="s">
        <v>49</v>
      </c>
      <c r="E3" s="6" t="s">
        <v>50</v>
      </c>
      <c r="F3" s="6" t="s">
        <v>44</v>
      </c>
      <c r="G3" s="7" t="s">
        <v>51</v>
      </c>
      <c r="H3" s="6" t="s">
        <v>46</v>
      </c>
    </row>
    <row r="4" customFormat="false" ht="23.85" hidden="false" customHeight="false" outlineLevel="0" collapsed="false">
      <c r="A4" s="6" t="s">
        <v>39</v>
      </c>
      <c r="B4" s="6" t="s">
        <v>52</v>
      </c>
      <c r="C4" s="6" t="s">
        <v>53</v>
      </c>
      <c r="D4" s="6" t="s">
        <v>54</v>
      </c>
      <c r="E4" s="6" t="s">
        <v>55</v>
      </c>
      <c r="F4" s="6" t="s">
        <v>44</v>
      </c>
      <c r="G4" s="7" t="s">
        <v>56</v>
      </c>
      <c r="H4" s="6" t="s">
        <v>46</v>
      </c>
    </row>
    <row r="5" customFormat="false" ht="23.85" hidden="false" customHeight="false" outlineLevel="0" collapsed="false">
      <c r="A5" s="6" t="s">
        <v>39</v>
      </c>
      <c r="B5" s="6" t="s">
        <v>57</v>
      </c>
      <c r="C5" s="6" t="s">
        <v>53</v>
      </c>
      <c r="D5" s="6" t="s">
        <v>58</v>
      </c>
      <c r="E5" s="6" t="s">
        <v>59</v>
      </c>
      <c r="F5" s="6" t="s">
        <v>44</v>
      </c>
      <c r="G5" s="7" t="s">
        <v>60</v>
      </c>
      <c r="H5" s="6" t="s">
        <v>46</v>
      </c>
    </row>
    <row r="6" customFormat="false" ht="23.85" hidden="false" customHeight="false" outlineLevel="0" collapsed="false">
      <c r="A6" s="6" t="s">
        <v>39</v>
      </c>
      <c r="B6" s="6" t="s">
        <v>61</v>
      </c>
      <c r="C6" s="6" t="s">
        <v>53</v>
      </c>
      <c r="D6" s="6" t="s">
        <v>62</v>
      </c>
      <c r="E6" s="6" t="s">
        <v>63</v>
      </c>
      <c r="F6" s="6" t="s">
        <v>44</v>
      </c>
      <c r="G6" s="7" t="s">
        <v>64</v>
      </c>
      <c r="H6" s="6" t="s">
        <v>46</v>
      </c>
    </row>
    <row r="7" customFormat="false" ht="23.85" hidden="false" customHeight="false" outlineLevel="0" collapsed="false">
      <c r="A7" s="6" t="s">
        <v>39</v>
      </c>
      <c r="B7" s="6" t="s">
        <v>65</v>
      </c>
      <c r="C7" s="6" t="s">
        <v>53</v>
      </c>
      <c r="D7" s="6" t="s">
        <v>66</v>
      </c>
      <c r="E7" s="6" t="s">
        <v>63</v>
      </c>
      <c r="F7" s="6" t="s">
        <v>44</v>
      </c>
      <c r="G7" s="7" t="s">
        <v>67</v>
      </c>
      <c r="H7" s="6" t="s">
        <v>46</v>
      </c>
    </row>
    <row r="8" customFormat="false" ht="23.85" hidden="false" customHeight="false" outlineLevel="0" collapsed="false">
      <c r="A8" s="6" t="s">
        <v>39</v>
      </c>
      <c r="B8" s="6" t="s">
        <v>68</v>
      </c>
      <c r="C8" s="6" t="s">
        <v>53</v>
      </c>
      <c r="D8" s="6" t="s">
        <v>69</v>
      </c>
      <c r="E8" s="6" t="s">
        <v>70</v>
      </c>
      <c r="F8" s="6" t="s">
        <v>44</v>
      </c>
      <c r="G8" s="7" t="s">
        <v>71</v>
      </c>
      <c r="H8" s="6" t="s">
        <v>46</v>
      </c>
    </row>
    <row r="9" customFormat="false" ht="23.85" hidden="false" customHeight="false" outlineLevel="0" collapsed="false">
      <c r="A9" s="6" t="s">
        <v>39</v>
      </c>
      <c r="B9" s="6" t="s">
        <v>72</v>
      </c>
      <c r="C9" s="6" t="s">
        <v>53</v>
      </c>
      <c r="D9" s="6" t="s">
        <v>73</v>
      </c>
      <c r="E9" s="6" t="s">
        <v>74</v>
      </c>
      <c r="F9" s="6" t="s">
        <v>44</v>
      </c>
      <c r="G9" s="7" t="s">
        <v>75</v>
      </c>
      <c r="H9" s="6" t="s">
        <v>46</v>
      </c>
    </row>
    <row r="10" customFormat="false" ht="23.85" hidden="false" customHeight="false" outlineLevel="0" collapsed="false">
      <c r="A10" s="6" t="s">
        <v>39</v>
      </c>
      <c r="B10" s="6" t="s">
        <v>76</v>
      </c>
      <c r="C10" s="6" t="s">
        <v>77</v>
      </c>
      <c r="D10" s="6" t="s">
        <v>78</v>
      </c>
      <c r="E10" s="6" t="s">
        <v>79</v>
      </c>
      <c r="F10" s="6" t="s">
        <v>44</v>
      </c>
      <c r="G10" s="7" t="s">
        <v>80</v>
      </c>
      <c r="H10" s="6" t="s">
        <v>81</v>
      </c>
    </row>
    <row r="11" customFormat="false" ht="23.85" hidden="false" customHeight="false" outlineLevel="0" collapsed="false">
      <c r="A11" s="6" t="s">
        <v>82</v>
      </c>
      <c r="B11" s="6" t="s">
        <v>83</v>
      </c>
      <c r="C11" s="6" t="s">
        <v>84</v>
      </c>
      <c r="D11" s="6" t="s">
        <v>85</v>
      </c>
      <c r="E11" s="6" t="s">
        <v>86</v>
      </c>
      <c r="F11" s="6" t="s">
        <v>44</v>
      </c>
      <c r="G11" s="7" t="s">
        <v>87</v>
      </c>
      <c r="H11" s="6" t="s">
        <v>46</v>
      </c>
    </row>
    <row r="12" customFormat="false" ht="23.85" hidden="false" customHeight="false" outlineLevel="0" collapsed="false">
      <c r="A12" s="6" t="s">
        <v>82</v>
      </c>
      <c r="B12" s="6" t="s">
        <v>88</v>
      </c>
      <c r="C12" s="6" t="s">
        <v>89</v>
      </c>
      <c r="D12" s="6" t="s">
        <v>90</v>
      </c>
      <c r="E12" s="6" t="s">
        <v>91</v>
      </c>
      <c r="F12" s="6" t="s">
        <v>44</v>
      </c>
      <c r="G12" s="7" t="s">
        <v>92</v>
      </c>
      <c r="H12" s="6" t="s">
        <v>46</v>
      </c>
    </row>
    <row r="13" customFormat="false" ht="23.85" hidden="false" customHeight="false" outlineLevel="0" collapsed="false">
      <c r="A13" s="6" t="s">
        <v>82</v>
      </c>
      <c r="B13" s="6" t="s">
        <v>93</v>
      </c>
      <c r="C13" s="6" t="s">
        <v>94</v>
      </c>
      <c r="D13" s="6" t="s">
        <v>95</v>
      </c>
      <c r="E13" s="6" t="s">
        <v>96</v>
      </c>
      <c r="F13" s="6" t="s">
        <v>44</v>
      </c>
      <c r="G13" s="7" t="s">
        <v>97</v>
      </c>
      <c r="H13" s="6" t="s">
        <v>46</v>
      </c>
    </row>
    <row r="14" customFormat="false" ht="46.25" hidden="false" customHeight="false" outlineLevel="0" collapsed="false">
      <c r="A14" s="6" t="s">
        <v>98</v>
      </c>
      <c r="B14" s="6" t="s">
        <v>99</v>
      </c>
      <c r="C14" s="6" t="s">
        <v>100</v>
      </c>
      <c r="D14" s="6" t="s">
        <v>101</v>
      </c>
      <c r="E14" s="6" t="s">
        <v>102</v>
      </c>
      <c r="F14" s="6" t="s">
        <v>44</v>
      </c>
      <c r="G14" s="7" t="s">
        <v>103</v>
      </c>
      <c r="H14" s="6" t="s">
        <v>46</v>
      </c>
    </row>
    <row r="15" customFormat="false" ht="35.05" hidden="false" customHeight="false" outlineLevel="0" collapsed="false">
      <c r="A15" s="6" t="s">
        <v>98</v>
      </c>
      <c r="B15" s="6" t="s">
        <v>104</v>
      </c>
      <c r="C15" s="6" t="s">
        <v>100</v>
      </c>
      <c r="D15" s="6" t="s">
        <v>105</v>
      </c>
      <c r="E15" s="6" t="s">
        <v>106</v>
      </c>
      <c r="F15" s="6" t="s">
        <v>44</v>
      </c>
      <c r="G15" s="7" t="s">
        <v>107</v>
      </c>
      <c r="H15" s="6" t="s">
        <v>108</v>
      </c>
    </row>
    <row r="16" customFormat="false" ht="23.85" hidden="false" customHeight="false" outlineLevel="0" collapsed="false">
      <c r="A16" s="6" t="s">
        <v>98</v>
      </c>
      <c r="B16" s="6" t="s">
        <v>109</v>
      </c>
      <c r="C16" s="6" t="s">
        <v>100</v>
      </c>
      <c r="D16" s="6" t="s">
        <v>110</v>
      </c>
      <c r="E16" s="6" t="s">
        <v>111</v>
      </c>
      <c r="F16" s="6" t="s">
        <v>44</v>
      </c>
      <c r="G16" s="7" t="s">
        <v>112</v>
      </c>
      <c r="H16" s="6" t="s">
        <v>46</v>
      </c>
    </row>
    <row r="17" customFormat="false" ht="23.85" hidden="false" customHeight="false" outlineLevel="0" collapsed="false">
      <c r="A17" s="6" t="s">
        <v>98</v>
      </c>
      <c r="B17" s="6" t="s">
        <v>113</v>
      </c>
      <c r="C17" s="6" t="s">
        <v>100</v>
      </c>
      <c r="D17" s="6" t="s">
        <v>114</v>
      </c>
      <c r="E17" s="6" t="s">
        <v>115</v>
      </c>
      <c r="F17" s="6" t="s">
        <v>44</v>
      </c>
      <c r="G17" s="7" t="s">
        <v>116</v>
      </c>
      <c r="H17" s="6" t="s">
        <v>46</v>
      </c>
    </row>
    <row r="18" customFormat="false" ht="23.85" hidden="false" customHeight="false" outlineLevel="0" collapsed="false">
      <c r="A18" s="6" t="s">
        <v>98</v>
      </c>
      <c r="B18" s="6" t="s">
        <v>117</v>
      </c>
      <c r="C18" s="6" t="s">
        <v>100</v>
      </c>
      <c r="D18" s="6" t="s">
        <v>118</v>
      </c>
      <c r="E18" s="6" t="s">
        <v>115</v>
      </c>
      <c r="F18" s="6" t="s">
        <v>44</v>
      </c>
      <c r="G18" s="7" t="s">
        <v>119</v>
      </c>
      <c r="H18" s="6" t="s">
        <v>46</v>
      </c>
    </row>
    <row r="19" customFormat="false" ht="23.85" hidden="false" customHeight="false" outlineLevel="0" collapsed="false">
      <c r="A19" s="6" t="s">
        <v>98</v>
      </c>
      <c r="B19" s="6" t="s">
        <v>120</v>
      </c>
      <c r="C19" s="6" t="s">
        <v>121</v>
      </c>
      <c r="D19" s="6" t="s">
        <v>122</v>
      </c>
      <c r="E19" s="6" t="s">
        <v>123</v>
      </c>
      <c r="F19" s="6" t="s">
        <v>44</v>
      </c>
      <c r="G19" s="7" t="s">
        <v>124</v>
      </c>
      <c r="H19" s="6" t="s">
        <v>46</v>
      </c>
    </row>
    <row r="20" customFormat="false" ht="35.05" hidden="false" customHeight="false" outlineLevel="0" collapsed="false">
      <c r="A20" s="6" t="s">
        <v>125</v>
      </c>
      <c r="B20" s="6" t="s">
        <v>126</v>
      </c>
      <c r="C20" s="6" t="s">
        <v>127</v>
      </c>
      <c r="D20" s="6" t="s">
        <v>128</v>
      </c>
      <c r="E20" s="6" t="s">
        <v>129</v>
      </c>
      <c r="F20" s="6" t="s">
        <v>44</v>
      </c>
      <c r="G20" s="7" t="s">
        <v>130</v>
      </c>
      <c r="H20" s="6" t="s">
        <v>81</v>
      </c>
    </row>
    <row r="21" customFormat="false" ht="23.85" hidden="false" customHeight="false" outlineLevel="0" collapsed="false">
      <c r="A21" s="6" t="s">
        <v>125</v>
      </c>
      <c r="B21" s="6" t="s">
        <v>131</v>
      </c>
      <c r="C21" s="6" t="s">
        <v>132</v>
      </c>
      <c r="D21" s="6" t="s">
        <v>133</v>
      </c>
      <c r="E21" s="6" t="s">
        <v>134</v>
      </c>
      <c r="F21" s="6" t="s">
        <v>44</v>
      </c>
      <c r="G21" s="7" t="s">
        <v>135</v>
      </c>
      <c r="H21" s="6" t="s">
        <v>81</v>
      </c>
    </row>
    <row r="22" customFormat="false" ht="23.85" hidden="false" customHeight="false" outlineLevel="0" collapsed="false">
      <c r="A22" s="6" t="s">
        <v>125</v>
      </c>
      <c r="B22" s="6" t="s">
        <v>136</v>
      </c>
      <c r="C22" s="6" t="s">
        <v>137</v>
      </c>
      <c r="D22" s="6" t="s">
        <v>138</v>
      </c>
      <c r="E22" s="6" t="s">
        <v>139</v>
      </c>
      <c r="F22" s="6" t="s">
        <v>44</v>
      </c>
      <c r="G22" s="7" t="s">
        <v>140</v>
      </c>
      <c r="H22" s="6" t="s">
        <v>46</v>
      </c>
    </row>
    <row r="23" customFormat="false" ht="23.85" hidden="false" customHeight="false" outlineLevel="0" collapsed="false">
      <c r="A23" s="6" t="s">
        <v>141</v>
      </c>
      <c r="B23" s="6" t="s">
        <v>142</v>
      </c>
      <c r="C23" s="6" t="s">
        <v>143</v>
      </c>
      <c r="D23" s="6" t="s">
        <v>144</v>
      </c>
      <c r="E23" s="6" t="s">
        <v>145</v>
      </c>
      <c r="F23" s="6" t="s">
        <v>44</v>
      </c>
      <c r="G23" s="7" t="s">
        <v>146</v>
      </c>
      <c r="H23" s="6" t="s">
        <v>46</v>
      </c>
    </row>
    <row r="24" customFormat="false" ht="23.85" hidden="false" customHeight="false" outlineLevel="0" collapsed="false">
      <c r="A24" s="6" t="s">
        <v>141</v>
      </c>
      <c r="B24" s="6" t="s">
        <v>147</v>
      </c>
      <c r="C24" s="6" t="s">
        <v>148</v>
      </c>
      <c r="D24" s="6" t="s">
        <v>149</v>
      </c>
      <c r="E24" s="6" t="s">
        <v>150</v>
      </c>
      <c r="F24" s="6" t="s">
        <v>44</v>
      </c>
      <c r="G24" s="7" t="s">
        <v>151</v>
      </c>
      <c r="H24" s="6" t="s">
        <v>46</v>
      </c>
    </row>
    <row r="25" customFormat="false" ht="15" hidden="false" customHeight="false" outlineLevel="0" collapsed="false">
      <c r="A25" s="6" t="s">
        <v>141</v>
      </c>
      <c r="B25" s="6" t="s">
        <v>152</v>
      </c>
      <c r="C25" s="6" t="s">
        <v>153</v>
      </c>
      <c r="D25" s="6" t="s">
        <v>154</v>
      </c>
      <c r="E25" s="6"/>
      <c r="F25" s="6" t="s">
        <v>44</v>
      </c>
      <c r="G25" s="7" t="s">
        <v>155</v>
      </c>
      <c r="H25" s="6" t="s">
        <v>156</v>
      </c>
    </row>
    <row r="26" customFormat="false" ht="23.85" hidden="false" customHeight="false" outlineLevel="0" collapsed="false">
      <c r="A26" s="6" t="s">
        <v>141</v>
      </c>
      <c r="B26" s="6" t="s">
        <v>157</v>
      </c>
      <c r="C26" s="6" t="s">
        <v>158</v>
      </c>
      <c r="D26" s="6" t="s">
        <v>159</v>
      </c>
      <c r="E26" s="6" t="s">
        <v>160</v>
      </c>
      <c r="F26" s="6" t="s">
        <v>44</v>
      </c>
      <c r="G26" s="7" t="s">
        <v>161</v>
      </c>
      <c r="H26" s="6" t="s">
        <v>162</v>
      </c>
    </row>
    <row r="27" customFormat="false" ht="23.85" hidden="false" customHeight="false" outlineLevel="0" collapsed="false">
      <c r="A27" s="6" t="s">
        <v>163</v>
      </c>
      <c r="B27" s="6" t="s">
        <v>164</v>
      </c>
      <c r="C27" s="6" t="s">
        <v>165</v>
      </c>
      <c r="D27" s="6" t="s">
        <v>166</v>
      </c>
      <c r="E27" s="6" t="s">
        <v>167</v>
      </c>
      <c r="F27" s="6" t="s">
        <v>44</v>
      </c>
      <c r="G27" s="7" t="s">
        <v>168</v>
      </c>
      <c r="H27" s="6" t="s">
        <v>46</v>
      </c>
    </row>
    <row r="28" customFormat="false" ht="23.85" hidden="false" customHeight="false" outlineLevel="0" collapsed="false">
      <c r="A28" s="6" t="s">
        <v>163</v>
      </c>
      <c r="B28" s="6" t="s">
        <v>169</v>
      </c>
      <c r="C28" s="6" t="s">
        <v>170</v>
      </c>
      <c r="D28" s="6" t="s">
        <v>171</v>
      </c>
      <c r="E28" s="6"/>
      <c r="F28" s="6" t="s">
        <v>44</v>
      </c>
      <c r="G28" s="7" t="s">
        <v>172</v>
      </c>
      <c r="H28" s="6" t="s">
        <v>81</v>
      </c>
    </row>
    <row r="29" customFormat="false" ht="15" hidden="false" customHeight="false" outlineLevel="0" collapsed="false">
      <c r="A29" s="6" t="s">
        <v>163</v>
      </c>
      <c r="B29" s="6" t="s">
        <v>173</v>
      </c>
      <c r="C29" s="6" t="s">
        <v>174</v>
      </c>
      <c r="D29" s="6" t="s">
        <v>175</v>
      </c>
      <c r="E29" s="6"/>
      <c r="F29" s="6" t="s">
        <v>44</v>
      </c>
      <c r="G29" s="7" t="s">
        <v>176</v>
      </c>
      <c r="H29" s="6" t="s">
        <v>46</v>
      </c>
    </row>
    <row r="30" customFormat="false" ht="23.85" hidden="false" customHeight="false" outlineLevel="0" collapsed="false">
      <c r="A30" s="6" t="s">
        <v>163</v>
      </c>
      <c r="B30" s="6" t="s">
        <v>177</v>
      </c>
      <c r="C30" s="6" t="s">
        <v>178</v>
      </c>
      <c r="D30" s="6" t="s">
        <v>179</v>
      </c>
      <c r="E30" s="6"/>
      <c r="F30" s="6" t="s">
        <v>44</v>
      </c>
      <c r="G30" s="7" t="s">
        <v>180</v>
      </c>
      <c r="H30" s="6" t="s">
        <v>81</v>
      </c>
    </row>
    <row r="31" customFormat="false" ht="15" hidden="false" customHeight="false" outlineLevel="0" collapsed="false">
      <c r="A31" s="6" t="s">
        <v>163</v>
      </c>
      <c r="B31" s="6" t="s">
        <v>181</v>
      </c>
      <c r="C31" s="6" t="s">
        <v>182</v>
      </c>
      <c r="D31" s="6" t="s">
        <v>183</v>
      </c>
      <c r="E31" s="6"/>
      <c r="F31" s="6" t="s">
        <v>44</v>
      </c>
      <c r="G31" s="7" t="s">
        <v>184</v>
      </c>
      <c r="H31" s="6" t="s">
        <v>46</v>
      </c>
    </row>
    <row r="32" customFormat="false" ht="23.85" hidden="false" customHeight="false" outlineLevel="0" collapsed="false">
      <c r="A32" s="6" t="s">
        <v>163</v>
      </c>
      <c r="B32" s="6" t="s">
        <v>185</v>
      </c>
      <c r="C32" s="6" t="s">
        <v>186</v>
      </c>
      <c r="D32" s="6" t="s">
        <v>187</v>
      </c>
      <c r="E32" s="6"/>
      <c r="F32" s="6" t="s">
        <v>44</v>
      </c>
      <c r="G32" s="7" t="s">
        <v>188</v>
      </c>
      <c r="H32" s="6" t="s">
        <v>162</v>
      </c>
    </row>
    <row r="33" customFormat="false" ht="23.85" hidden="false" customHeight="false" outlineLevel="0" collapsed="false">
      <c r="A33" s="6" t="s">
        <v>163</v>
      </c>
      <c r="B33" s="6" t="s">
        <v>189</v>
      </c>
      <c r="C33" s="6" t="s">
        <v>190</v>
      </c>
      <c r="D33" s="6" t="s">
        <v>191</v>
      </c>
      <c r="E33" s="6" t="s">
        <v>192</v>
      </c>
      <c r="F33" s="6" t="s">
        <v>193</v>
      </c>
      <c r="G33" s="7" t="s">
        <v>194</v>
      </c>
      <c r="H33" s="6" t="s">
        <v>162</v>
      </c>
    </row>
    <row r="34" customFormat="false" ht="23.85" hidden="false" customHeight="false" outlineLevel="0" collapsed="false">
      <c r="A34" s="6" t="s">
        <v>163</v>
      </c>
      <c r="B34" s="6" t="s">
        <v>195</v>
      </c>
      <c r="C34" s="6" t="s">
        <v>195</v>
      </c>
      <c r="D34" s="6" t="s">
        <v>196</v>
      </c>
      <c r="E34" s="6"/>
      <c r="F34" s="6" t="s">
        <v>44</v>
      </c>
      <c r="G34" s="7" t="s">
        <v>197</v>
      </c>
      <c r="H34" s="6" t="s">
        <v>46</v>
      </c>
    </row>
    <row r="35" customFormat="false" ht="46.25" hidden="false" customHeight="false" outlineLevel="0" collapsed="false">
      <c r="A35" s="6" t="s">
        <v>198</v>
      </c>
      <c r="B35" s="6" t="s">
        <v>199</v>
      </c>
      <c r="C35" s="6" t="s">
        <v>200</v>
      </c>
      <c r="D35" s="6" t="s">
        <v>201</v>
      </c>
      <c r="E35" s="6" t="s">
        <v>202</v>
      </c>
      <c r="F35" s="6" t="s">
        <v>44</v>
      </c>
      <c r="G35" s="7" t="s">
        <v>203</v>
      </c>
      <c r="H35" s="6" t="s">
        <v>46</v>
      </c>
    </row>
    <row r="36" customFormat="false" ht="23.85" hidden="false" customHeight="false" outlineLevel="0" collapsed="false">
      <c r="A36" s="6" t="s">
        <v>204</v>
      </c>
      <c r="B36" s="6" t="s">
        <v>205</v>
      </c>
      <c r="C36" s="6" t="s">
        <v>206</v>
      </c>
      <c r="D36" s="6" t="s">
        <v>207</v>
      </c>
      <c r="E36" s="6" t="s">
        <v>208</v>
      </c>
      <c r="F36" s="6" t="s">
        <v>44</v>
      </c>
      <c r="G36" s="7" t="s">
        <v>209</v>
      </c>
      <c r="H36" s="6" t="s">
        <v>46</v>
      </c>
    </row>
    <row r="37" customFormat="false" ht="23.85" hidden="false" customHeight="false" outlineLevel="0" collapsed="false">
      <c r="A37" s="6" t="s">
        <v>204</v>
      </c>
      <c r="B37" s="6" t="s">
        <v>210</v>
      </c>
      <c r="C37" s="6" t="s">
        <v>206</v>
      </c>
      <c r="D37" s="6" t="s">
        <v>211</v>
      </c>
      <c r="E37" s="6"/>
      <c r="F37" s="6" t="s">
        <v>44</v>
      </c>
      <c r="G37" s="7" t="s">
        <v>212</v>
      </c>
      <c r="H37" s="6" t="s">
        <v>46</v>
      </c>
    </row>
    <row r="38" customFormat="false" ht="23.85" hidden="false" customHeight="false" outlineLevel="0" collapsed="false">
      <c r="A38" s="6" t="s">
        <v>204</v>
      </c>
      <c r="B38" s="6" t="s">
        <v>213</v>
      </c>
      <c r="C38" s="6" t="s">
        <v>206</v>
      </c>
      <c r="D38" s="6" t="s">
        <v>214</v>
      </c>
      <c r="E38" s="6" t="s">
        <v>215</v>
      </c>
      <c r="F38" s="6" t="s">
        <v>44</v>
      </c>
      <c r="G38" s="7" t="s">
        <v>216</v>
      </c>
      <c r="H38" s="6" t="s">
        <v>46</v>
      </c>
    </row>
    <row r="39" customFormat="false" ht="23.85" hidden="false" customHeight="false" outlineLevel="0" collapsed="false">
      <c r="A39" s="6" t="s">
        <v>204</v>
      </c>
      <c r="B39" s="6" t="s">
        <v>217</v>
      </c>
      <c r="C39" s="6" t="s">
        <v>218</v>
      </c>
      <c r="D39" s="6" t="s">
        <v>219</v>
      </c>
      <c r="E39" s="6"/>
      <c r="F39" s="6" t="s">
        <v>44</v>
      </c>
      <c r="G39" s="7" t="s">
        <v>220</v>
      </c>
      <c r="H39" s="6" t="s">
        <v>46</v>
      </c>
    </row>
    <row r="40" customFormat="false" ht="23.85" hidden="false" customHeight="false" outlineLevel="0" collapsed="false">
      <c r="A40" s="6" t="s">
        <v>204</v>
      </c>
      <c r="B40" s="6" t="s">
        <v>221</v>
      </c>
      <c r="C40" s="6" t="s">
        <v>222</v>
      </c>
      <c r="D40" s="6" t="s">
        <v>223</v>
      </c>
      <c r="E40" s="6" t="s">
        <v>224</v>
      </c>
      <c r="F40" s="6" t="s">
        <v>44</v>
      </c>
      <c r="G40" s="7" t="s">
        <v>225</v>
      </c>
      <c r="H40" s="6" t="s">
        <v>226</v>
      </c>
    </row>
    <row r="41" customFormat="false" ht="23.85" hidden="false" customHeight="false" outlineLevel="0" collapsed="false">
      <c r="A41" s="6" t="s">
        <v>204</v>
      </c>
      <c r="B41" s="6" t="s">
        <v>227</v>
      </c>
      <c r="C41" s="6" t="s">
        <v>228</v>
      </c>
      <c r="D41" s="6" t="s">
        <v>229</v>
      </c>
      <c r="E41" s="6"/>
      <c r="F41" s="6" t="s">
        <v>44</v>
      </c>
      <c r="G41" s="7" t="s">
        <v>230</v>
      </c>
      <c r="H41" s="6" t="s">
        <v>231</v>
      </c>
    </row>
    <row r="42" customFormat="false" ht="15" hidden="false" customHeight="false" outlineLevel="0" collapsed="false">
      <c r="A42" s="6" t="s">
        <v>204</v>
      </c>
      <c r="B42" s="6" t="s">
        <v>232</v>
      </c>
      <c r="C42" s="6" t="s">
        <v>233</v>
      </c>
      <c r="D42" s="6" t="s">
        <v>234</v>
      </c>
      <c r="E42" s="6" t="s">
        <v>235</v>
      </c>
      <c r="F42" s="6" t="s">
        <v>44</v>
      </c>
      <c r="G42" s="7" t="s">
        <v>236</v>
      </c>
      <c r="H42" s="6" t="s">
        <v>46</v>
      </c>
    </row>
    <row r="43" customFormat="false" ht="23.85" hidden="false" customHeight="false" outlineLevel="0" collapsed="false">
      <c r="A43" s="6" t="s">
        <v>204</v>
      </c>
      <c r="B43" s="6" t="s">
        <v>237</v>
      </c>
      <c r="C43" s="6" t="s">
        <v>238</v>
      </c>
      <c r="D43" s="6" t="s">
        <v>239</v>
      </c>
      <c r="E43" s="6" t="s">
        <v>240</v>
      </c>
      <c r="F43" s="6" t="s">
        <v>241</v>
      </c>
      <c r="G43" s="7" t="s">
        <v>242</v>
      </c>
      <c r="H43" s="6" t="s">
        <v>243</v>
      </c>
    </row>
    <row r="44" customFormat="false" ht="23.85" hidden="false" customHeight="false" outlineLevel="0" collapsed="false">
      <c r="A44" s="6" t="s">
        <v>204</v>
      </c>
      <c r="B44" s="6" t="s">
        <v>244</v>
      </c>
      <c r="C44" s="6" t="s">
        <v>245</v>
      </c>
      <c r="D44" s="6" t="s">
        <v>246</v>
      </c>
      <c r="E44" s="6"/>
      <c r="F44" s="6" t="s">
        <v>44</v>
      </c>
      <c r="G44" s="7" t="s">
        <v>247</v>
      </c>
      <c r="H44" s="6" t="s">
        <v>46</v>
      </c>
    </row>
    <row r="45" customFormat="false" ht="23.85" hidden="false" customHeight="false" outlineLevel="0" collapsed="false">
      <c r="A45" s="6" t="s">
        <v>204</v>
      </c>
      <c r="B45" s="6" t="s">
        <v>248</v>
      </c>
      <c r="C45" s="6" t="s">
        <v>249</v>
      </c>
      <c r="D45" s="6" t="s">
        <v>250</v>
      </c>
      <c r="E45" s="6"/>
      <c r="F45" s="6" t="s">
        <v>44</v>
      </c>
      <c r="G45" s="7" t="s">
        <v>251</v>
      </c>
      <c r="H45" s="6" t="s">
        <v>46</v>
      </c>
    </row>
    <row r="46" customFormat="false" ht="23.85" hidden="false" customHeight="false" outlineLevel="0" collapsed="false">
      <c r="A46" s="6" t="s">
        <v>204</v>
      </c>
      <c r="B46" s="6" t="s">
        <v>252</v>
      </c>
      <c r="C46" s="6" t="s">
        <v>253</v>
      </c>
      <c r="D46" s="6" t="s">
        <v>254</v>
      </c>
      <c r="E46" s="6"/>
      <c r="F46" s="6" t="s">
        <v>44</v>
      </c>
      <c r="G46" s="7" t="s">
        <v>255</v>
      </c>
      <c r="H46" s="6" t="s">
        <v>81</v>
      </c>
    </row>
    <row r="47" customFormat="false" ht="57.45" hidden="false" customHeight="false" outlineLevel="0" collapsed="false">
      <c r="A47" s="6" t="s">
        <v>256</v>
      </c>
      <c r="B47" s="6" t="s">
        <v>257</v>
      </c>
      <c r="C47" s="6" t="s">
        <v>258</v>
      </c>
      <c r="D47" s="6" t="s">
        <v>259</v>
      </c>
      <c r="E47" s="6" t="s">
        <v>260</v>
      </c>
      <c r="F47" s="6" t="s">
        <v>261</v>
      </c>
      <c r="G47" s="7" t="s">
        <v>262</v>
      </c>
      <c r="H47" s="6" t="s">
        <v>263</v>
      </c>
    </row>
    <row r="48" customFormat="false" ht="23.85" hidden="false" customHeight="false" outlineLevel="0" collapsed="false">
      <c r="A48" s="6" t="s">
        <v>264</v>
      </c>
      <c r="B48" s="6" t="s">
        <v>265</v>
      </c>
      <c r="C48" s="6" t="s">
        <v>266</v>
      </c>
      <c r="D48" s="6" t="s">
        <v>267</v>
      </c>
      <c r="E48" s="6" t="s">
        <v>268</v>
      </c>
      <c r="F48" s="6" t="s">
        <v>44</v>
      </c>
      <c r="G48" s="7" t="s">
        <v>269</v>
      </c>
      <c r="H48" s="6" t="s">
        <v>270</v>
      </c>
    </row>
    <row r="49" customFormat="false" ht="23.85" hidden="false" customHeight="false" outlineLevel="0" collapsed="false">
      <c r="A49" s="6" t="s">
        <v>264</v>
      </c>
      <c r="B49" s="6" t="s">
        <v>271</v>
      </c>
      <c r="C49" s="6" t="s">
        <v>272</v>
      </c>
      <c r="D49" s="6" t="s">
        <v>273</v>
      </c>
      <c r="E49" s="6" t="s">
        <v>274</v>
      </c>
      <c r="F49" s="6" t="s">
        <v>44</v>
      </c>
      <c r="G49" s="7" t="s">
        <v>275</v>
      </c>
      <c r="H49" s="6" t="s">
        <v>81</v>
      </c>
    </row>
    <row r="50" customFormat="false" ht="23.85" hidden="false" customHeight="false" outlineLevel="0" collapsed="false">
      <c r="A50" s="6" t="s">
        <v>264</v>
      </c>
      <c r="B50" s="6" t="s">
        <v>276</v>
      </c>
      <c r="C50" s="6" t="s">
        <v>277</v>
      </c>
      <c r="D50" s="6" t="s">
        <v>278</v>
      </c>
      <c r="E50" s="6"/>
      <c r="F50" s="6" t="s">
        <v>44</v>
      </c>
      <c r="G50" s="7" t="s">
        <v>279</v>
      </c>
      <c r="H50" s="6" t="s">
        <v>46</v>
      </c>
    </row>
    <row r="51" customFormat="false" ht="23.85" hidden="false" customHeight="false" outlineLevel="0" collapsed="false">
      <c r="A51" s="6" t="s">
        <v>264</v>
      </c>
      <c r="B51" s="6" t="s">
        <v>280</v>
      </c>
      <c r="C51" s="6" t="s">
        <v>281</v>
      </c>
      <c r="D51" s="6" t="s">
        <v>282</v>
      </c>
      <c r="E51" s="6" t="s">
        <v>283</v>
      </c>
      <c r="F51" s="6" t="s">
        <v>44</v>
      </c>
      <c r="G51" s="7" t="s">
        <v>284</v>
      </c>
      <c r="H51" s="6" t="s">
        <v>46</v>
      </c>
    </row>
    <row r="52" customFormat="false" ht="15" hidden="false" customHeight="false" outlineLevel="0" collapsed="false">
      <c r="A52" s="6" t="s">
        <v>264</v>
      </c>
      <c r="B52" s="6" t="s">
        <v>285</v>
      </c>
      <c r="C52" s="6" t="s">
        <v>53</v>
      </c>
      <c r="D52" s="6" t="s">
        <v>286</v>
      </c>
      <c r="E52" s="6"/>
      <c r="F52" s="6" t="s">
        <v>44</v>
      </c>
      <c r="G52" s="7" t="s">
        <v>287</v>
      </c>
      <c r="H52" s="6" t="s">
        <v>46</v>
      </c>
    </row>
    <row r="53" customFormat="false" ht="15" hidden="false" customHeight="false" outlineLevel="0" collapsed="false">
      <c r="A53" s="6" t="s">
        <v>264</v>
      </c>
      <c r="B53" s="6" t="s">
        <v>288</v>
      </c>
      <c r="C53" s="6" t="s">
        <v>289</v>
      </c>
      <c r="D53" s="6" t="s">
        <v>290</v>
      </c>
      <c r="E53" s="6"/>
      <c r="F53" s="6" t="s">
        <v>44</v>
      </c>
      <c r="G53" s="7" t="s">
        <v>291</v>
      </c>
      <c r="H53" s="6" t="s">
        <v>46</v>
      </c>
    </row>
    <row r="54" customFormat="false" ht="15" hidden="false" customHeight="false" outlineLevel="0" collapsed="false">
      <c r="A54" s="6" t="s">
        <v>264</v>
      </c>
      <c r="B54" s="6" t="s">
        <v>292</v>
      </c>
      <c r="C54" s="6" t="s">
        <v>100</v>
      </c>
      <c r="D54" s="6" t="s">
        <v>293</v>
      </c>
      <c r="E54" s="6"/>
      <c r="F54" s="6" t="s">
        <v>44</v>
      </c>
      <c r="G54" s="7" t="s">
        <v>294</v>
      </c>
      <c r="H54" s="6" t="s">
        <v>46</v>
      </c>
    </row>
    <row r="55" customFormat="false" ht="15" hidden="false" customHeight="false" outlineLevel="0" collapsed="false">
      <c r="A55" s="6" t="s">
        <v>264</v>
      </c>
      <c r="B55" s="6" t="s">
        <v>295</v>
      </c>
      <c r="C55" s="6" t="s">
        <v>296</v>
      </c>
      <c r="D55" s="6" t="s">
        <v>297</v>
      </c>
      <c r="E55" s="6"/>
      <c r="F55" s="6" t="s">
        <v>44</v>
      </c>
      <c r="G55" s="7" t="s">
        <v>298</v>
      </c>
      <c r="H55" s="6" t="s">
        <v>46</v>
      </c>
    </row>
    <row r="56" customFormat="false" ht="23.85" hidden="false" customHeight="false" outlineLevel="0" collapsed="false">
      <c r="A56" s="6" t="s">
        <v>264</v>
      </c>
      <c r="B56" s="6" t="s">
        <v>299</v>
      </c>
      <c r="C56" s="6" t="s">
        <v>300</v>
      </c>
      <c r="D56" s="6" t="s">
        <v>301</v>
      </c>
      <c r="E56" s="6"/>
      <c r="F56" s="6" t="s">
        <v>44</v>
      </c>
      <c r="G56" s="7" t="s">
        <v>302</v>
      </c>
      <c r="H56" s="6" t="s">
        <v>46</v>
      </c>
    </row>
    <row r="57" customFormat="false" ht="23.85" hidden="false" customHeight="false" outlineLevel="0" collapsed="false">
      <c r="A57" s="6" t="s">
        <v>264</v>
      </c>
      <c r="B57" s="6" t="s">
        <v>303</v>
      </c>
      <c r="C57" s="6" t="s">
        <v>304</v>
      </c>
      <c r="D57" s="6" t="s">
        <v>305</v>
      </c>
      <c r="E57" s="6"/>
      <c r="F57" s="6" t="s">
        <v>44</v>
      </c>
      <c r="G57" s="7" t="s">
        <v>306</v>
      </c>
      <c r="H57" s="6" t="s">
        <v>307</v>
      </c>
    </row>
    <row r="58" customFormat="false" ht="23.85" hidden="false" customHeight="false" outlineLevel="0" collapsed="false">
      <c r="A58" s="6" t="s">
        <v>264</v>
      </c>
      <c r="B58" s="6" t="s">
        <v>308</v>
      </c>
      <c r="C58" s="6" t="s">
        <v>309</v>
      </c>
      <c r="D58" s="6" t="s">
        <v>310</v>
      </c>
      <c r="E58" s="6"/>
      <c r="F58" s="6" t="s">
        <v>311</v>
      </c>
      <c r="G58" s="7" t="s">
        <v>312</v>
      </c>
      <c r="H58" s="6" t="s">
        <v>46</v>
      </c>
    </row>
    <row r="59" customFormat="false" ht="15" hidden="false" customHeight="false" outlineLevel="0" collapsed="false">
      <c r="A59" s="6" t="s">
        <v>264</v>
      </c>
      <c r="B59" s="6" t="s">
        <v>313</v>
      </c>
      <c r="C59" s="6" t="s">
        <v>314</v>
      </c>
      <c r="D59" s="6" t="s">
        <v>315</v>
      </c>
      <c r="E59" s="6"/>
      <c r="F59" s="6" t="s">
        <v>44</v>
      </c>
      <c r="G59" s="7" t="s">
        <v>316</v>
      </c>
      <c r="H59" s="6" t="s">
        <v>46</v>
      </c>
    </row>
    <row r="60" customFormat="false" ht="57.45" hidden="false" customHeight="false" outlineLevel="0" collapsed="false">
      <c r="A60" s="6" t="s">
        <v>264</v>
      </c>
      <c r="B60" s="6" t="s">
        <v>317</v>
      </c>
      <c r="C60" s="6" t="s">
        <v>318</v>
      </c>
      <c r="D60" s="6" t="s">
        <v>319</v>
      </c>
      <c r="E60" s="6" t="s">
        <v>320</v>
      </c>
      <c r="F60" s="6" t="s">
        <v>44</v>
      </c>
      <c r="G60" s="7" t="s">
        <v>321</v>
      </c>
      <c r="H60" s="6" t="s">
        <v>322</v>
      </c>
    </row>
    <row r="61" customFormat="false" ht="35.05" hidden="false" customHeight="false" outlineLevel="0" collapsed="false">
      <c r="A61" s="6" t="s">
        <v>264</v>
      </c>
      <c r="B61" s="6" t="s">
        <v>323</v>
      </c>
      <c r="C61" s="6" t="s">
        <v>318</v>
      </c>
      <c r="D61" s="6" t="s">
        <v>324</v>
      </c>
      <c r="E61" s="6" t="s">
        <v>325</v>
      </c>
      <c r="F61" s="6" t="s">
        <v>44</v>
      </c>
      <c r="G61" s="7" t="s">
        <v>326</v>
      </c>
      <c r="H61" s="6" t="s">
        <v>322</v>
      </c>
    </row>
    <row r="62" customFormat="false" ht="15" hidden="false" customHeight="false" outlineLevel="0" collapsed="false">
      <c r="A62" s="6" t="s">
        <v>264</v>
      </c>
      <c r="B62" s="6" t="s">
        <v>327</v>
      </c>
      <c r="C62" s="6" t="s">
        <v>328</v>
      </c>
      <c r="D62" s="6" t="s">
        <v>329</v>
      </c>
      <c r="E62" s="6"/>
      <c r="F62" s="6" t="s">
        <v>44</v>
      </c>
      <c r="G62" s="7" t="s">
        <v>330</v>
      </c>
      <c r="H62" s="6" t="s">
        <v>46</v>
      </c>
    </row>
    <row r="63" customFormat="false" ht="15" hidden="false" customHeight="false" outlineLevel="0" collapsed="false">
      <c r="A63" s="6" t="s">
        <v>264</v>
      </c>
      <c r="B63" s="6" t="s">
        <v>331</v>
      </c>
      <c r="C63" s="6" t="s">
        <v>332</v>
      </c>
      <c r="D63" s="6" t="s">
        <v>333</v>
      </c>
      <c r="E63" s="6"/>
      <c r="F63" s="6" t="s">
        <v>44</v>
      </c>
      <c r="G63" s="7" t="s">
        <v>334</v>
      </c>
      <c r="H63" s="6" t="s">
        <v>46</v>
      </c>
    </row>
    <row r="64" customFormat="false" ht="23.85" hidden="false" customHeight="false" outlineLevel="0" collapsed="false">
      <c r="A64" s="6" t="s">
        <v>264</v>
      </c>
      <c r="B64" s="6" t="s">
        <v>335</v>
      </c>
      <c r="C64" s="6" t="s">
        <v>336</v>
      </c>
      <c r="D64" s="6" t="s">
        <v>337</v>
      </c>
      <c r="E64" s="6"/>
      <c r="F64" s="6" t="s">
        <v>44</v>
      </c>
      <c r="G64" s="7" t="s">
        <v>338</v>
      </c>
      <c r="H64" s="6" t="s">
        <v>46</v>
      </c>
    </row>
    <row r="65" customFormat="false" ht="15" hidden="false" customHeight="false" outlineLevel="0" collapsed="false">
      <c r="A65" s="6" t="s">
        <v>264</v>
      </c>
      <c r="B65" s="6" t="s">
        <v>339</v>
      </c>
      <c r="C65" s="6" t="s">
        <v>340</v>
      </c>
      <c r="D65" s="6" t="s">
        <v>341</v>
      </c>
      <c r="E65" s="6"/>
      <c r="F65" s="6" t="s">
        <v>44</v>
      </c>
      <c r="G65" s="7" t="s">
        <v>342</v>
      </c>
      <c r="H65" s="6" t="s">
        <v>46</v>
      </c>
    </row>
    <row r="66" customFormat="false" ht="15" hidden="false" customHeight="false" outlineLevel="0" collapsed="false">
      <c r="A66" s="6" t="s">
        <v>264</v>
      </c>
      <c r="B66" s="6" t="s">
        <v>343</v>
      </c>
      <c r="C66" s="6" t="s">
        <v>344</v>
      </c>
      <c r="D66" s="6" t="s">
        <v>345</v>
      </c>
      <c r="E66" s="6"/>
      <c r="F66" s="6" t="s">
        <v>44</v>
      </c>
      <c r="G66" s="7" t="s">
        <v>346</v>
      </c>
      <c r="H66" s="6" t="s">
        <v>46</v>
      </c>
    </row>
  </sheetData>
  <autoFilter ref="A1:H66"/>
  <hyperlinks>
    <hyperlink ref="G2" r:id="rId1" display="https://ec.europa.eu/transparencyinitiative/meetings/"/>
    <hyperlink ref="G3" r:id="rId2" display="https://transparency-register.europa.eu/find-out-more/news/important-commission-adopts-new-transparency-measures-2024-12-12_en"/>
    <hyperlink ref="G4" r:id="rId3" display="https://commission.europa.eu/about/organisation/college-commissioners/individual-calendars-president-and-commissioners_en"/>
    <hyperlink ref="G5" r:id="rId4" display="https://commission.europa.eu/strategy-and-policy/decision-making-process-commission/decision-making-during-weekly-meetings_en"/>
    <hyperlink ref="G6" r:id="rId5" display="https://ec.europa.eu/transparency/expert-groups-register/"/>
    <hyperlink ref="G7" r:id="rId6" display="https://ec.europa.eu/transparency/comitology-register/"/>
    <hyperlink ref="G8" r:id="rId7" display="https://ec.europa.eu/transparency/documents-register/"/>
    <hyperlink ref="G9" r:id="rId8" display="https://ec.europa.eu/info/law/better-regulation/have-your-say_en"/>
    <hyperlink ref="G10" r:id="rId9" display="https://eismea.ec.europa.eu/eismea-transparency-register_en"/>
    <hyperlink ref="G11" r:id="rId10" display="https://transparency-register.europa.eu/searchregister-or-update/search-register_en"/>
    <hyperlink ref="G12" r:id="rId11" display="https://transparency-register.europa.eu/conditions-contacts-eu-institutions_en"/>
    <hyperlink ref="G13" r:id="rId12" display="https://data.europa.eu/data/datasets/transparency-register"/>
    <hyperlink ref="G14" r:id="rId13" display="https://www.europarl.europa.eu/meps/en/home"/>
    <hyperlink ref="G15" r:id="rId14" display="https://oeil.europarl.europa.eu/oeil/en"/>
    <hyperlink ref="G16" r:id="rId15" display="https://www.europarl.europa.eu/meps/en/about/groupings"/>
    <hyperlink ref="G17" r:id="rId16" display="https://emeeting.europarl.europa.eu/emeeting/committee/en/agenda"/>
    <hyperlink ref="G18" r:id="rId17" display="https://www.europarl.europa.eu/plenary/en/home.html"/>
    <hyperlink ref="G19" r:id="rId18" display="https://www.europarl.europa.eu/legislative-train/"/>
    <hyperlink ref="G20" r:id="rId19" display="https://www.consilium.europa.eu/en/meetings/calendar/"/>
    <hyperlink ref="G21" r:id="rId20" display="https://www.consilium.europa.eu/en/documents-publications/public-register/"/>
    <hyperlink ref="G22" r:id="rId21" display="https://irish-presidency.consilium.europa.eu/en/"/>
    <hyperlink ref="G23" r:id="rId22" display="https://www.netherlandsandyou.nl/web/pr-eu-brussels/transparency-lists-2026"/>
    <hyperlink ref="G24" r:id="rId23" display="https://um.dk/eu/en/about-us/representatives/permanent-representative/transparency/"/>
    <hyperlink ref="G25" r:id="rId24" display="https://gov.si/en/representations/permanent-representation-to-the-european-union-brussels/about-the-permanent-representation-to-the-european-union-brussels/transparency-register"/>
    <hyperlink ref="G26" r:id="rId25" display="https://civilsocietyeurope.eu/wp-content/uploads/2025/04/CSE-analysis-on-the-transparency-of-the-Perm-Reps-to-the-EU.docx.pdf"/>
    <hyperlink ref="G27" r:id="rId26" display="https://www.ecb.europa.eu/ecb/access_to_documents/document/calendars/html/index.en.html"/>
    <hyperlink ref="G28" r:id="rId27" display="https://www.eba.europa.eu/about-us/organisation-and-governance/accountability/public-meetings-registers"/>
    <hyperlink ref="G29" r:id="rId28" display="https://www.eiopa.europa.eu/about/accountability-and-transparency/record-meetings_en"/>
    <hyperlink ref="G30" r:id="rId29" display="https://www.esma.europa.eu/node/200182"/>
    <hyperlink ref="G31" r:id="rId30" display="https://www.ema.europa.eu/en/partners-networks/pharmaceutical-industry/industry-stakeholder-platform-meetings"/>
    <hyperlink ref="G32" r:id="rId31" display="https://www.eesc.europa.eu/sites/default/files/ropas/RoPA%20E111_Publication%20of%20meetings%20of%20EESC%20office-holding%20members%20with%20interest%20representatives%20.pdf"/>
    <hyperlink ref="G33" r:id="rId32" display="https://www.cor.europa.eu/sites/default/files/2026-01/legislative_footprint.pdf"/>
    <hyperlink ref="G34" r:id="rId33" display="https://www.ombudsman.europa.eu/en/home"/>
    <hyperlink ref="G35" r:id="rId34" display="https://www.lachambre.be/kvvcr/showpage.cfm?section=/lobby&amp;language=fr"/>
    <hyperlink ref="G36" r:id="rId35" display="https://integritywatch.eu/ecmeetings"/>
    <hyperlink ref="G37" r:id="rId36" display="https://integritywatch.eu/mepmeetings"/>
    <hyperlink ref="G38" r:id="rId37" display="https://integritywatch.eu/organizations.php?s=1"/>
    <hyperlink ref="G39" r:id="rId38" display="https://www.lobbyfacts.eu/"/>
    <hyperlink ref="G40" r:id="rId39" display="https://www.asktheeu.org/"/>
    <hyperlink ref="G41" r:id="rId40" display="https://parltrack.org/"/>
    <hyperlink ref="G42" r:id="rId41" display="https://howtheyvote.eu/"/>
    <hyperlink ref="G43" r:id="rId42" display="https://eumatrix.eu/"/>
    <hyperlink ref="G44" r:id="rId43" display="https://corporateeurope.org/en"/>
    <hyperlink ref="G45" r:id="rId44" display="https://alter-eu.org/"/>
    <hyperlink ref="G46" r:id="rId45" display="https://op.europa.eu/en/web/who-is-who"/>
    <hyperlink ref="G47" r:id="rId46" display="https://pac.org/government-relations-tracking-analytics-tools-eu-public-affairs"/>
    <hyperlink ref="G48" r:id="rId47" display="https://the-bubble.org/agenda/"/>
    <hyperlink ref="G49" r:id="rId48" display="https://euagenda.eu/"/>
    <hyperlink ref="G50" r:id="rId49" display="https://agenda.rapporteur.com/"/>
    <hyperlink ref="G51" r:id="rId50" display="https://audiovisual.ec.europa.eu/en/ebs/planning"/>
    <hyperlink ref="G52" r:id="rId51" display="https://commission.europa.eu/get-involved/events_en"/>
    <hyperlink ref="G53" r:id="rId52" display="https://european-union.europa.eu/news-and-events/events_en"/>
    <hyperlink ref="G54" r:id="rId53" display="https://www.europarl.europa.eu/news/en/agenda"/>
    <hyperlink ref="G55" r:id="rId54" display="https://www.eesc.europa.eu/en/agenda"/>
    <hyperlink ref="G56" r:id="rId55" display="https://www.eumonitor.eu/"/>
    <hyperlink ref="G57" r:id="rId56" display="https://ieu-monitoring.com/events/"/>
    <hyperlink ref="G58" r:id="rId57" display="https://www.politico.eu/newsletter/brussels-playbook/"/>
    <hyperlink ref="G59" r:id="rId58" display="https://euobserver.com/topic/agenda/"/>
    <hyperlink ref="G60" r:id="rId59" display="https://agenceurope.eu/en/calendar.html"/>
    <hyperlink ref="G61" r:id="rId60" display="https://agenceurope.eu/en/calendar-extra.html"/>
    <hyperlink ref="G62" r:id="rId61" display="https://www.pubaffairsbruxelles.eu/event/"/>
    <hyperlink ref="G63" r:id="rId62" display="https://event.brusselstimes.com/events-listing/"/>
    <hyperlink ref="G64" r:id="rId63" display="https://luma.com/discover"/>
    <hyperlink ref="G65" r:id="rId64" display="https://www.eventbrite.be/d/belgium--brussels/eu-policy/"/>
    <hyperlink ref="G66" r:id="rId65" display="https://www.meetup.com/find/?location=be--Brussel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66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8"/>
    <col collapsed="false" customWidth="true" hidden="false" outlineLevel="0" max="3" min="3" style="0" width="24"/>
    <col collapsed="false" customWidth="true" hidden="false" outlineLevel="0" max="4" min="4" style="0" width="60"/>
    <col collapsed="false" customWidth="true" hidden="false" outlineLevel="0" max="5" min="5" style="0" width="42"/>
    <col collapsed="false" customWidth="true" hidden="false" outlineLevel="0" max="6" min="6" style="0" width="12"/>
  </cols>
  <sheetData>
    <row r="1" customFormat="false" ht="26.85" hidden="false" customHeight="false" outlineLevel="0" collapsed="false">
      <c r="A1" s="5" t="s">
        <v>347</v>
      </c>
      <c r="B1" s="5" t="s">
        <v>348</v>
      </c>
      <c r="C1" s="5" t="s">
        <v>349</v>
      </c>
      <c r="D1" s="5" t="s">
        <v>350</v>
      </c>
      <c r="E1" s="5" t="s">
        <v>38</v>
      </c>
      <c r="F1" s="5" t="s">
        <v>351</v>
      </c>
    </row>
    <row r="2" customFormat="false" ht="15" hidden="false" customHeight="false" outlineLevel="0" collapsed="false">
      <c r="A2" s="6" t="s">
        <v>352</v>
      </c>
      <c r="B2" s="6" t="s">
        <v>353</v>
      </c>
      <c r="C2" s="6" t="s">
        <v>354</v>
      </c>
      <c r="D2" s="7" t="s">
        <v>355</v>
      </c>
      <c r="E2" s="6" t="s">
        <v>356</v>
      </c>
      <c r="F2" s="6"/>
    </row>
    <row r="3" customFormat="false" ht="15" hidden="false" customHeight="false" outlineLevel="0" collapsed="false">
      <c r="A3" s="6" t="s">
        <v>352</v>
      </c>
      <c r="B3" s="6" t="s">
        <v>357</v>
      </c>
      <c r="C3" s="6" t="s">
        <v>354</v>
      </c>
      <c r="D3" s="7" t="s">
        <v>358</v>
      </c>
      <c r="E3" s="6" t="s">
        <v>359</v>
      </c>
      <c r="F3" s="6" t="s">
        <v>360</v>
      </c>
    </row>
    <row r="4" customFormat="false" ht="15" hidden="false" customHeight="false" outlineLevel="0" collapsed="false">
      <c r="A4" s="6" t="s">
        <v>352</v>
      </c>
      <c r="B4" s="6" t="s">
        <v>361</v>
      </c>
      <c r="C4" s="6" t="s">
        <v>354</v>
      </c>
      <c r="D4" s="7" t="s">
        <v>362</v>
      </c>
      <c r="E4" s="6" t="s">
        <v>359</v>
      </c>
      <c r="F4" s="6" t="s">
        <v>360</v>
      </c>
    </row>
    <row r="5" customFormat="false" ht="15" hidden="false" customHeight="false" outlineLevel="0" collapsed="false">
      <c r="A5" s="6" t="s">
        <v>352</v>
      </c>
      <c r="B5" s="6" t="s">
        <v>363</v>
      </c>
      <c r="C5" s="6" t="s">
        <v>354</v>
      </c>
      <c r="D5" s="7" t="s">
        <v>364</v>
      </c>
      <c r="E5" s="6" t="s">
        <v>359</v>
      </c>
      <c r="F5" s="6" t="s">
        <v>360</v>
      </c>
    </row>
    <row r="6" customFormat="false" ht="15" hidden="false" customHeight="false" outlineLevel="0" collapsed="false">
      <c r="A6" s="6" t="s">
        <v>352</v>
      </c>
      <c r="B6" s="6" t="s">
        <v>365</v>
      </c>
      <c r="C6" s="6" t="s">
        <v>354</v>
      </c>
      <c r="D6" s="7" t="s">
        <v>366</v>
      </c>
      <c r="E6" s="6" t="s">
        <v>359</v>
      </c>
      <c r="F6" s="6"/>
    </row>
    <row r="7" customFormat="false" ht="15" hidden="false" customHeight="false" outlineLevel="0" collapsed="false">
      <c r="A7" s="6" t="s">
        <v>352</v>
      </c>
      <c r="B7" s="6" t="s">
        <v>367</v>
      </c>
      <c r="C7" s="6" t="s">
        <v>368</v>
      </c>
      <c r="D7" s="7" t="s">
        <v>130</v>
      </c>
      <c r="E7" s="6" t="s">
        <v>369</v>
      </c>
      <c r="F7" s="6"/>
    </row>
    <row r="8" customFormat="false" ht="15" hidden="false" customHeight="false" outlineLevel="0" collapsed="false">
      <c r="A8" s="6" t="s">
        <v>352</v>
      </c>
      <c r="B8" s="6" t="s">
        <v>370</v>
      </c>
      <c r="C8" s="6" t="s">
        <v>368</v>
      </c>
      <c r="D8" s="7" t="s">
        <v>371</v>
      </c>
      <c r="E8" s="6" t="s">
        <v>356</v>
      </c>
      <c r="F8" s="6"/>
    </row>
    <row r="9" customFormat="false" ht="15" hidden="false" customHeight="false" outlineLevel="0" collapsed="false">
      <c r="A9" s="6" t="s">
        <v>352</v>
      </c>
      <c r="B9" s="6" t="s">
        <v>372</v>
      </c>
      <c r="C9" s="6" t="s">
        <v>368</v>
      </c>
      <c r="D9" s="7" t="s">
        <v>373</v>
      </c>
      <c r="E9" s="6" t="s">
        <v>369</v>
      </c>
      <c r="F9" s="6"/>
    </row>
    <row r="10" customFormat="false" ht="15" hidden="false" customHeight="false" outlineLevel="0" collapsed="false">
      <c r="A10" s="6" t="s">
        <v>352</v>
      </c>
      <c r="B10" s="6" t="s">
        <v>374</v>
      </c>
      <c r="C10" s="6" t="s">
        <v>368</v>
      </c>
      <c r="D10" s="7" t="s">
        <v>375</v>
      </c>
      <c r="E10" s="6" t="s">
        <v>359</v>
      </c>
      <c r="F10" s="6"/>
    </row>
    <row r="11" customFormat="false" ht="15" hidden="false" customHeight="false" outlineLevel="0" collapsed="false">
      <c r="A11" s="6" t="s">
        <v>352</v>
      </c>
      <c r="B11" s="6" t="s">
        <v>376</v>
      </c>
      <c r="C11" s="6" t="s">
        <v>368</v>
      </c>
      <c r="D11" s="7" t="s">
        <v>377</v>
      </c>
      <c r="E11" s="6" t="s">
        <v>359</v>
      </c>
      <c r="F11" s="6"/>
    </row>
    <row r="12" customFormat="false" ht="15" hidden="false" customHeight="false" outlineLevel="0" collapsed="false">
      <c r="A12" s="6" t="s">
        <v>352</v>
      </c>
      <c r="B12" s="6" t="s">
        <v>378</v>
      </c>
      <c r="C12" s="6" t="s">
        <v>368</v>
      </c>
      <c r="D12" s="7" t="s">
        <v>379</v>
      </c>
      <c r="E12" s="6" t="s">
        <v>359</v>
      </c>
      <c r="F12" s="6"/>
    </row>
    <row r="13" customFormat="false" ht="15" hidden="false" customHeight="false" outlineLevel="0" collapsed="false">
      <c r="A13" s="6" t="s">
        <v>352</v>
      </c>
      <c r="B13" s="6" t="s">
        <v>380</v>
      </c>
      <c r="C13" s="6" t="s">
        <v>368</v>
      </c>
      <c r="D13" s="7" t="s">
        <v>381</v>
      </c>
      <c r="E13" s="6" t="s">
        <v>369</v>
      </c>
      <c r="F13" s="6"/>
    </row>
    <row r="14" customFormat="false" ht="15" hidden="false" customHeight="false" outlineLevel="0" collapsed="false">
      <c r="A14" s="6" t="s">
        <v>352</v>
      </c>
      <c r="B14" s="6" t="s">
        <v>382</v>
      </c>
      <c r="C14" s="6" t="s">
        <v>368</v>
      </c>
      <c r="D14" s="7" t="s">
        <v>383</v>
      </c>
      <c r="E14" s="6" t="s">
        <v>356</v>
      </c>
      <c r="F14" s="6"/>
    </row>
    <row r="15" customFormat="false" ht="15" hidden="false" customHeight="false" outlineLevel="0" collapsed="false">
      <c r="A15" s="6" t="s">
        <v>352</v>
      </c>
      <c r="B15" s="6" t="s">
        <v>384</v>
      </c>
      <c r="C15" s="6" t="s">
        <v>368</v>
      </c>
      <c r="D15" s="7" t="s">
        <v>385</v>
      </c>
      <c r="E15" s="6" t="s">
        <v>359</v>
      </c>
      <c r="F15" s="6"/>
    </row>
    <row r="16" customFormat="false" ht="15" hidden="false" customHeight="false" outlineLevel="0" collapsed="false">
      <c r="A16" s="6" t="s">
        <v>352</v>
      </c>
      <c r="B16" s="6" t="s">
        <v>386</v>
      </c>
      <c r="C16" s="6" t="s">
        <v>368</v>
      </c>
      <c r="D16" s="7" t="s">
        <v>387</v>
      </c>
      <c r="E16" s="6" t="s">
        <v>359</v>
      </c>
      <c r="F16" s="6"/>
    </row>
    <row r="17" customFormat="false" ht="15" hidden="false" customHeight="false" outlineLevel="0" collapsed="false">
      <c r="A17" s="6" t="s">
        <v>352</v>
      </c>
      <c r="B17" s="6" t="s">
        <v>388</v>
      </c>
      <c r="C17" s="6" t="s">
        <v>368</v>
      </c>
      <c r="D17" s="7" t="s">
        <v>389</v>
      </c>
      <c r="E17" s="6" t="s">
        <v>369</v>
      </c>
      <c r="F17" s="6"/>
    </row>
    <row r="18" customFormat="false" ht="15" hidden="false" customHeight="false" outlineLevel="0" collapsed="false">
      <c r="A18" s="6" t="s">
        <v>352</v>
      </c>
      <c r="B18" s="6" t="s">
        <v>390</v>
      </c>
      <c r="C18" s="6" t="s">
        <v>368</v>
      </c>
      <c r="D18" s="7" t="s">
        <v>391</v>
      </c>
      <c r="E18" s="6" t="s">
        <v>359</v>
      </c>
      <c r="F18" s="6"/>
    </row>
    <row r="19" customFormat="false" ht="15" hidden="false" customHeight="false" outlineLevel="0" collapsed="false">
      <c r="A19" s="6" t="s">
        <v>352</v>
      </c>
      <c r="B19" s="6" t="s">
        <v>392</v>
      </c>
      <c r="C19" s="6" t="s">
        <v>368</v>
      </c>
      <c r="D19" s="7" t="s">
        <v>393</v>
      </c>
      <c r="E19" s="6" t="s">
        <v>359</v>
      </c>
      <c r="F19" s="6"/>
    </row>
    <row r="20" customFormat="false" ht="15" hidden="false" customHeight="false" outlineLevel="0" collapsed="false">
      <c r="A20" s="6" t="s">
        <v>352</v>
      </c>
      <c r="B20" s="6" t="s">
        <v>394</v>
      </c>
      <c r="C20" s="6" t="s">
        <v>368</v>
      </c>
      <c r="D20" s="7" t="s">
        <v>395</v>
      </c>
      <c r="E20" s="6" t="s">
        <v>359</v>
      </c>
      <c r="F20" s="6"/>
    </row>
    <row r="21" customFormat="false" ht="15" hidden="false" customHeight="false" outlineLevel="0" collapsed="false">
      <c r="A21" s="6" t="s">
        <v>352</v>
      </c>
      <c r="B21" s="6" t="s">
        <v>396</v>
      </c>
      <c r="C21" s="6" t="s">
        <v>368</v>
      </c>
      <c r="D21" s="7" t="s">
        <v>397</v>
      </c>
      <c r="E21" s="6" t="s">
        <v>359</v>
      </c>
      <c r="F21" s="6"/>
    </row>
    <row r="22" customFormat="false" ht="15" hidden="false" customHeight="false" outlineLevel="0" collapsed="false">
      <c r="A22" s="6" t="s">
        <v>352</v>
      </c>
      <c r="B22" s="6" t="s">
        <v>398</v>
      </c>
      <c r="C22" s="6" t="s">
        <v>368</v>
      </c>
      <c r="D22" s="7" t="s">
        <v>399</v>
      </c>
      <c r="E22" s="6" t="s">
        <v>359</v>
      </c>
      <c r="F22" s="6"/>
    </row>
    <row r="23" customFormat="false" ht="15" hidden="false" customHeight="false" outlineLevel="0" collapsed="false">
      <c r="A23" s="6" t="s">
        <v>352</v>
      </c>
      <c r="B23" s="6" t="s">
        <v>400</v>
      </c>
      <c r="C23" s="6" t="s">
        <v>368</v>
      </c>
      <c r="D23" s="7" t="s">
        <v>401</v>
      </c>
      <c r="E23" s="6" t="s">
        <v>359</v>
      </c>
      <c r="F23" s="6"/>
    </row>
    <row r="24" customFormat="false" ht="15" hidden="false" customHeight="false" outlineLevel="0" collapsed="false">
      <c r="A24" s="6" t="s">
        <v>352</v>
      </c>
      <c r="B24" s="6" t="s">
        <v>402</v>
      </c>
      <c r="C24" s="6" t="s">
        <v>368</v>
      </c>
      <c r="D24" s="7" t="s">
        <v>403</v>
      </c>
      <c r="E24" s="6" t="s">
        <v>359</v>
      </c>
      <c r="F24" s="6"/>
    </row>
    <row r="25" customFormat="false" ht="15" hidden="false" customHeight="false" outlineLevel="0" collapsed="false">
      <c r="A25" s="6" t="s">
        <v>352</v>
      </c>
      <c r="B25" s="6" t="s">
        <v>404</v>
      </c>
      <c r="C25" s="6" t="s">
        <v>368</v>
      </c>
      <c r="D25" s="7" t="s">
        <v>287</v>
      </c>
      <c r="E25" s="6" t="s">
        <v>356</v>
      </c>
      <c r="F25" s="6"/>
    </row>
    <row r="26" customFormat="false" ht="15" hidden="false" customHeight="false" outlineLevel="0" collapsed="false">
      <c r="A26" s="6" t="s">
        <v>352</v>
      </c>
      <c r="B26" s="6" t="s">
        <v>405</v>
      </c>
      <c r="C26" s="6" t="s">
        <v>368</v>
      </c>
      <c r="D26" s="7" t="s">
        <v>406</v>
      </c>
      <c r="E26" s="6" t="s">
        <v>359</v>
      </c>
      <c r="F26" s="6"/>
    </row>
    <row r="27" customFormat="false" ht="15" hidden="false" customHeight="false" outlineLevel="0" collapsed="false">
      <c r="A27" s="6" t="s">
        <v>352</v>
      </c>
      <c r="B27" s="6" t="s">
        <v>407</v>
      </c>
      <c r="C27" s="6" t="s">
        <v>368</v>
      </c>
      <c r="D27" s="7" t="s">
        <v>408</v>
      </c>
      <c r="E27" s="6" t="s">
        <v>359</v>
      </c>
      <c r="F27" s="6"/>
    </row>
    <row r="28" customFormat="false" ht="15" hidden="false" customHeight="false" outlineLevel="0" collapsed="false">
      <c r="A28" s="6" t="s">
        <v>352</v>
      </c>
      <c r="B28" s="6" t="s">
        <v>409</v>
      </c>
      <c r="C28" s="6" t="s">
        <v>368</v>
      </c>
      <c r="D28" s="7" t="s">
        <v>287</v>
      </c>
      <c r="E28" s="6" t="s">
        <v>356</v>
      </c>
      <c r="F28" s="6"/>
    </row>
    <row r="29" customFormat="false" ht="15" hidden="false" customHeight="false" outlineLevel="0" collapsed="false">
      <c r="A29" s="6" t="s">
        <v>352</v>
      </c>
      <c r="B29" s="6" t="s">
        <v>410</v>
      </c>
      <c r="C29" s="6" t="s">
        <v>368</v>
      </c>
      <c r="D29" s="7" t="s">
        <v>411</v>
      </c>
      <c r="E29" s="6" t="s">
        <v>359</v>
      </c>
      <c r="F29" s="6"/>
    </row>
    <row r="30" customFormat="false" ht="15" hidden="false" customHeight="false" outlineLevel="0" collapsed="false">
      <c r="A30" s="6" t="s">
        <v>352</v>
      </c>
      <c r="B30" s="6" t="s">
        <v>412</v>
      </c>
      <c r="C30" s="6" t="s">
        <v>368</v>
      </c>
      <c r="D30" s="7" t="s">
        <v>413</v>
      </c>
      <c r="E30" s="6" t="s">
        <v>359</v>
      </c>
      <c r="F30" s="6"/>
    </row>
    <row r="31" customFormat="false" ht="15" hidden="false" customHeight="false" outlineLevel="0" collapsed="false">
      <c r="A31" s="6" t="s">
        <v>352</v>
      </c>
      <c r="B31" s="6" t="s">
        <v>414</v>
      </c>
      <c r="C31" s="6" t="s">
        <v>368</v>
      </c>
      <c r="D31" s="7" t="s">
        <v>415</v>
      </c>
      <c r="E31" s="6" t="s">
        <v>359</v>
      </c>
      <c r="F31" s="6"/>
    </row>
    <row r="32" customFormat="false" ht="15" hidden="false" customHeight="false" outlineLevel="0" collapsed="false">
      <c r="A32" s="6" t="s">
        <v>352</v>
      </c>
      <c r="B32" s="6" t="s">
        <v>416</v>
      </c>
      <c r="C32" s="6" t="s">
        <v>368</v>
      </c>
      <c r="D32" s="7" t="s">
        <v>417</v>
      </c>
      <c r="E32" s="6" t="s">
        <v>359</v>
      </c>
      <c r="F32" s="6"/>
    </row>
    <row r="33" customFormat="false" ht="15" hidden="false" customHeight="false" outlineLevel="0" collapsed="false">
      <c r="A33" s="6" t="s">
        <v>352</v>
      </c>
      <c r="B33" s="6" t="s">
        <v>174</v>
      </c>
      <c r="C33" s="6" t="s">
        <v>354</v>
      </c>
      <c r="D33" s="7" t="s">
        <v>418</v>
      </c>
      <c r="E33" s="6" t="s">
        <v>359</v>
      </c>
      <c r="F33" s="6"/>
    </row>
    <row r="34" customFormat="false" ht="23.85" hidden="false" customHeight="false" outlineLevel="0" collapsed="false">
      <c r="A34" s="6" t="s">
        <v>352</v>
      </c>
      <c r="B34" s="6" t="s">
        <v>419</v>
      </c>
      <c r="C34" s="6" t="s">
        <v>354</v>
      </c>
      <c r="D34" s="7" t="s">
        <v>420</v>
      </c>
      <c r="E34" s="6" t="s">
        <v>421</v>
      </c>
      <c r="F34" s="6"/>
    </row>
    <row r="35" customFormat="false" ht="15" hidden="false" customHeight="false" outlineLevel="0" collapsed="false">
      <c r="A35" s="6" t="s">
        <v>352</v>
      </c>
      <c r="B35" s="6" t="s">
        <v>422</v>
      </c>
      <c r="C35" s="6" t="s">
        <v>354</v>
      </c>
      <c r="D35" s="7" t="s">
        <v>423</v>
      </c>
      <c r="E35" s="6" t="s">
        <v>359</v>
      </c>
      <c r="F35" s="6" t="s">
        <v>360</v>
      </c>
    </row>
    <row r="36" customFormat="false" ht="15" hidden="false" customHeight="false" outlineLevel="0" collapsed="false">
      <c r="A36" s="6" t="s">
        <v>352</v>
      </c>
      <c r="B36" s="6" t="s">
        <v>178</v>
      </c>
      <c r="C36" s="6" t="s">
        <v>354</v>
      </c>
      <c r="D36" s="7" t="s">
        <v>424</v>
      </c>
      <c r="E36" s="6" t="s">
        <v>369</v>
      </c>
      <c r="F36" s="6"/>
    </row>
    <row r="37" customFormat="false" ht="15" hidden="false" customHeight="false" outlineLevel="0" collapsed="false">
      <c r="A37" s="6" t="s">
        <v>352</v>
      </c>
      <c r="B37" s="6" t="s">
        <v>425</v>
      </c>
      <c r="C37" s="6" t="s">
        <v>354</v>
      </c>
      <c r="D37" s="7" t="s">
        <v>426</v>
      </c>
      <c r="E37" s="6" t="s">
        <v>359</v>
      </c>
      <c r="F37" s="6"/>
    </row>
    <row r="38" customFormat="false" ht="15" hidden="false" customHeight="false" outlineLevel="0" collapsed="false">
      <c r="A38" s="6" t="s">
        <v>352</v>
      </c>
      <c r="B38" s="6" t="s">
        <v>427</v>
      </c>
      <c r="C38" s="6" t="s">
        <v>354</v>
      </c>
      <c r="D38" s="7" t="s">
        <v>428</v>
      </c>
      <c r="E38" s="6" t="s">
        <v>356</v>
      </c>
      <c r="F38" s="6"/>
    </row>
    <row r="39" customFormat="false" ht="15" hidden="false" customHeight="false" outlineLevel="0" collapsed="false">
      <c r="A39" s="6" t="s">
        <v>352</v>
      </c>
      <c r="B39" s="6" t="s">
        <v>429</v>
      </c>
      <c r="C39" s="6" t="s">
        <v>368</v>
      </c>
      <c r="D39" s="7" t="s">
        <v>430</v>
      </c>
      <c r="E39" s="6" t="s">
        <v>359</v>
      </c>
      <c r="F39" s="6" t="s">
        <v>360</v>
      </c>
    </row>
    <row r="40" customFormat="false" ht="23.85" hidden="false" customHeight="false" outlineLevel="0" collapsed="false">
      <c r="A40" s="6" t="s">
        <v>352</v>
      </c>
      <c r="B40" s="6" t="s">
        <v>431</v>
      </c>
      <c r="C40" s="6" t="s">
        <v>368</v>
      </c>
      <c r="D40" s="7" t="s">
        <v>432</v>
      </c>
      <c r="E40" s="6" t="s">
        <v>433</v>
      </c>
      <c r="F40" s="6"/>
    </row>
    <row r="41" customFormat="false" ht="15" hidden="false" customHeight="false" outlineLevel="0" collapsed="false">
      <c r="A41" s="6" t="s">
        <v>352</v>
      </c>
      <c r="B41" s="6" t="s">
        <v>434</v>
      </c>
      <c r="C41" s="6" t="s">
        <v>354</v>
      </c>
      <c r="D41" s="7" t="s">
        <v>435</v>
      </c>
      <c r="E41" s="6" t="s">
        <v>369</v>
      </c>
      <c r="F41" s="6"/>
    </row>
    <row r="42" customFormat="false" ht="15" hidden="false" customHeight="false" outlineLevel="0" collapsed="false">
      <c r="A42" s="6" t="s">
        <v>352</v>
      </c>
      <c r="B42" s="6" t="s">
        <v>170</v>
      </c>
      <c r="C42" s="6" t="s">
        <v>354</v>
      </c>
      <c r="D42" s="7" t="s">
        <v>436</v>
      </c>
      <c r="E42" s="6" t="s">
        <v>359</v>
      </c>
      <c r="F42" s="6"/>
    </row>
    <row r="43" customFormat="false" ht="15" hidden="false" customHeight="false" outlineLevel="0" collapsed="false">
      <c r="A43" s="6" t="s">
        <v>352</v>
      </c>
      <c r="B43" s="6" t="s">
        <v>165</v>
      </c>
      <c r="C43" s="6" t="s">
        <v>368</v>
      </c>
      <c r="D43" s="7" t="s">
        <v>437</v>
      </c>
      <c r="E43" s="6" t="s">
        <v>359</v>
      </c>
      <c r="F43" s="6"/>
    </row>
    <row r="44" customFormat="false" ht="15" hidden="false" customHeight="false" outlineLevel="0" collapsed="false">
      <c r="A44" s="6" t="s">
        <v>352</v>
      </c>
      <c r="B44" s="6" t="s">
        <v>438</v>
      </c>
      <c r="C44" s="6" t="s">
        <v>354</v>
      </c>
      <c r="D44" s="7" t="s">
        <v>439</v>
      </c>
      <c r="E44" s="6" t="s">
        <v>369</v>
      </c>
      <c r="F44" s="6"/>
    </row>
    <row r="45" customFormat="false" ht="15" hidden="false" customHeight="false" outlineLevel="0" collapsed="false">
      <c r="A45" s="6" t="s">
        <v>352</v>
      </c>
      <c r="B45" s="6" t="s">
        <v>440</v>
      </c>
      <c r="C45" s="6" t="s">
        <v>368</v>
      </c>
      <c r="D45" s="7" t="s">
        <v>287</v>
      </c>
      <c r="E45" s="6" t="s">
        <v>356</v>
      </c>
      <c r="F45" s="6" t="s">
        <v>360</v>
      </c>
    </row>
    <row r="46" customFormat="false" ht="15" hidden="false" customHeight="false" outlineLevel="0" collapsed="false">
      <c r="A46" s="6" t="s">
        <v>352</v>
      </c>
      <c r="B46" s="6" t="s">
        <v>441</v>
      </c>
      <c r="C46" s="6" t="s">
        <v>368</v>
      </c>
      <c r="D46" s="7" t="s">
        <v>442</v>
      </c>
      <c r="E46" s="6" t="s">
        <v>359</v>
      </c>
      <c r="F46" s="6"/>
    </row>
    <row r="47" customFormat="false" ht="15" hidden="false" customHeight="false" outlineLevel="0" collapsed="false">
      <c r="A47" s="6" t="s">
        <v>352</v>
      </c>
      <c r="B47" s="6" t="s">
        <v>190</v>
      </c>
      <c r="C47" s="6" t="s">
        <v>368</v>
      </c>
      <c r="D47" s="7" t="s">
        <v>443</v>
      </c>
      <c r="E47" s="6" t="s">
        <v>359</v>
      </c>
      <c r="F47" s="6" t="s">
        <v>360</v>
      </c>
    </row>
    <row r="48" customFormat="false" ht="15" hidden="false" customHeight="false" outlineLevel="0" collapsed="false">
      <c r="A48" s="6" t="s">
        <v>352</v>
      </c>
      <c r="B48" s="6" t="s">
        <v>444</v>
      </c>
      <c r="C48" s="6" t="s">
        <v>368</v>
      </c>
      <c r="D48" s="7" t="s">
        <v>445</v>
      </c>
      <c r="E48" s="6" t="s">
        <v>359</v>
      </c>
      <c r="F48" s="6"/>
    </row>
    <row r="49" customFormat="false" ht="15" hidden="false" customHeight="false" outlineLevel="0" collapsed="false">
      <c r="A49" s="6" t="s">
        <v>352</v>
      </c>
      <c r="B49" s="6" t="s">
        <v>446</v>
      </c>
      <c r="C49" s="6" t="s">
        <v>368</v>
      </c>
      <c r="D49" s="7" t="s">
        <v>447</v>
      </c>
      <c r="E49" s="6" t="s">
        <v>359</v>
      </c>
      <c r="F49" s="6"/>
    </row>
    <row r="50" customFormat="false" ht="15" hidden="false" customHeight="false" outlineLevel="0" collapsed="false">
      <c r="A50" s="6" t="s">
        <v>352</v>
      </c>
      <c r="B50" s="6" t="s">
        <v>448</v>
      </c>
      <c r="C50" s="6" t="s">
        <v>354</v>
      </c>
      <c r="D50" s="7" t="s">
        <v>449</v>
      </c>
      <c r="E50" s="6" t="s">
        <v>359</v>
      </c>
      <c r="F50" s="6"/>
    </row>
    <row r="51" customFormat="false" ht="15" hidden="false" customHeight="false" outlineLevel="0" collapsed="false">
      <c r="A51" s="6" t="s">
        <v>352</v>
      </c>
      <c r="B51" s="6" t="s">
        <v>186</v>
      </c>
      <c r="C51" s="6" t="s">
        <v>368</v>
      </c>
      <c r="D51" s="7" t="s">
        <v>298</v>
      </c>
      <c r="E51" s="6" t="s">
        <v>356</v>
      </c>
      <c r="F51" s="6" t="s">
        <v>360</v>
      </c>
    </row>
    <row r="52" customFormat="false" ht="15" hidden="false" customHeight="false" outlineLevel="0" collapsed="false">
      <c r="A52" s="6" t="s">
        <v>352</v>
      </c>
      <c r="B52" s="6" t="s">
        <v>450</v>
      </c>
      <c r="C52" s="6" t="s">
        <v>354</v>
      </c>
      <c r="D52" s="7" t="s">
        <v>451</v>
      </c>
      <c r="E52" s="6" t="s">
        <v>359</v>
      </c>
      <c r="F52" s="6"/>
    </row>
    <row r="53" customFormat="false" ht="15" hidden="false" customHeight="false" outlineLevel="0" collapsed="false">
      <c r="A53" s="6" t="s">
        <v>352</v>
      </c>
      <c r="B53" s="6" t="s">
        <v>452</v>
      </c>
      <c r="C53" s="6" t="s">
        <v>368</v>
      </c>
      <c r="D53" s="7" t="s">
        <v>453</v>
      </c>
      <c r="E53" s="6" t="s">
        <v>369</v>
      </c>
      <c r="F53" s="6"/>
    </row>
    <row r="54" customFormat="false" ht="15" hidden="false" customHeight="false" outlineLevel="0" collapsed="false">
      <c r="A54" s="6" t="s">
        <v>352</v>
      </c>
      <c r="B54" s="6" t="s">
        <v>454</v>
      </c>
      <c r="C54" s="6" t="s">
        <v>354</v>
      </c>
      <c r="D54" s="7" t="s">
        <v>455</v>
      </c>
      <c r="E54" s="6" t="s">
        <v>359</v>
      </c>
      <c r="F54" s="6"/>
    </row>
    <row r="55" customFormat="false" ht="15" hidden="false" customHeight="false" outlineLevel="0" collapsed="false">
      <c r="A55" s="6" t="s">
        <v>352</v>
      </c>
      <c r="B55" s="6" t="s">
        <v>456</v>
      </c>
      <c r="C55" s="6" t="s">
        <v>354</v>
      </c>
      <c r="D55" s="7" t="s">
        <v>457</v>
      </c>
      <c r="E55" s="6" t="s">
        <v>359</v>
      </c>
      <c r="F55" s="6"/>
    </row>
    <row r="56" customFormat="false" ht="15" hidden="false" customHeight="false" outlineLevel="0" collapsed="false">
      <c r="A56" s="6" t="s">
        <v>352</v>
      </c>
      <c r="B56" s="6" t="s">
        <v>458</v>
      </c>
      <c r="C56" s="6" t="s">
        <v>368</v>
      </c>
      <c r="D56" s="7" t="s">
        <v>459</v>
      </c>
      <c r="E56" s="6" t="s">
        <v>359</v>
      </c>
      <c r="F56" s="6"/>
    </row>
    <row r="57" customFormat="false" ht="15" hidden="false" customHeight="false" outlineLevel="0" collapsed="false">
      <c r="A57" s="6" t="s">
        <v>352</v>
      </c>
      <c r="B57" s="6" t="s">
        <v>460</v>
      </c>
      <c r="C57" s="6" t="s">
        <v>354</v>
      </c>
      <c r="D57" s="7" t="s">
        <v>461</v>
      </c>
      <c r="E57" s="6" t="s">
        <v>359</v>
      </c>
      <c r="F57" s="6"/>
    </row>
    <row r="58" customFormat="false" ht="15" hidden="false" customHeight="false" outlineLevel="0" collapsed="false">
      <c r="A58" s="6" t="s">
        <v>352</v>
      </c>
      <c r="B58" s="6" t="s">
        <v>182</v>
      </c>
      <c r="C58" s="6" t="s">
        <v>354</v>
      </c>
      <c r="D58" s="7" t="s">
        <v>462</v>
      </c>
      <c r="E58" s="6" t="s">
        <v>359</v>
      </c>
      <c r="F58" s="6"/>
    </row>
    <row r="59" customFormat="false" ht="15" hidden="false" customHeight="false" outlineLevel="0" collapsed="false">
      <c r="A59" s="6" t="s">
        <v>352</v>
      </c>
      <c r="B59" s="6" t="s">
        <v>195</v>
      </c>
      <c r="C59" s="6" t="s">
        <v>368</v>
      </c>
      <c r="D59" s="7" t="s">
        <v>463</v>
      </c>
      <c r="E59" s="6" t="s">
        <v>359</v>
      </c>
      <c r="F59" s="6"/>
    </row>
    <row r="60" customFormat="false" ht="15" hidden="false" customHeight="false" outlineLevel="0" collapsed="false">
      <c r="A60" s="6" t="s">
        <v>352</v>
      </c>
      <c r="B60" s="6" t="s">
        <v>464</v>
      </c>
      <c r="C60" s="6" t="s">
        <v>368</v>
      </c>
      <c r="D60" s="7" t="s">
        <v>294</v>
      </c>
      <c r="E60" s="6" t="s">
        <v>359</v>
      </c>
      <c r="F60" s="6" t="s">
        <v>360</v>
      </c>
    </row>
    <row r="61" customFormat="false" ht="15" hidden="false" customHeight="false" outlineLevel="0" collapsed="false">
      <c r="A61" s="6" t="s">
        <v>352</v>
      </c>
      <c r="B61" s="6" t="s">
        <v>465</v>
      </c>
      <c r="C61" s="6" t="s">
        <v>368</v>
      </c>
      <c r="D61" s="7" t="s">
        <v>466</v>
      </c>
      <c r="E61" s="6" t="s">
        <v>359</v>
      </c>
      <c r="F61" s="6"/>
    </row>
    <row r="62" customFormat="false" ht="15" hidden="false" customHeight="false" outlineLevel="0" collapsed="false">
      <c r="A62" s="6" t="s">
        <v>352</v>
      </c>
      <c r="B62" s="6" t="s">
        <v>467</v>
      </c>
      <c r="C62" s="6" t="s">
        <v>368</v>
      </c>
      <c r="D62" s="7" t="s">
        <v>468</v>
      </c>
      <c r="E62" s="6" t="s">
        <v>359</v>
      </c>
      <c r="F62" s="6" t="s">
        <v>360</v>
      </c>
    </row>
    <row r="63" customFormat="false" ht="15" hidden="false" customHeight="false" outlineLevel="0" collapsed="false">
      <c r="A63" s="6" t="s">
        <v>352</v>
      </c>
      <c r="B63" s="6" t="s">
        <v>469</v>
      </c>
      <c r="C63" s="6" t="s">
        <v>354</v>
      </c>
      <c r="D63" s="7" t="s">
        <v>470</v>
      </c>
      <c r="E63" s="6" t="s">
        <v>359</v>
      </c>
      <c r="F63" s="6" t="s">
        <v>360</v>
      </c>
    </row>
    <row r="64" customFormat="false" ht="15" hidden="false" customHeight="false" outlineLevel="0" collapsed="false">
      <c r="A64" s="6" t="s">
        <v>352</v>
      </c>
      <c r="B64" s="6" t="s">
        <v>471</v>
      </c>
      <c r="C64" s="6" t="s">
        <v>368</v>
      </c>
      <c r="D64" s="7" t="s">
        <v>287</v>
      </c>
      <c r="E64" s="6" t="s">
        <v>356</v>
      </c>
      <c r="F64" s="6"/>
    </row>
    <row r="65" customFormat="false" ht="15" hidden="false" customHeight="false" outlineLevel="0" collapsed="false">
      <c r="A65" s="6" t="s">
        <v>352</v>
      </c>
      <c r="B65" s="6" t="s">
        <v>472</v>
      </c>
      <c r="C65" s="6" t="s">
        <v>368</v>
      </c>
      <c r="D65" s="7" t="s">
        <v>473</v>
      </c>
      <c r="E65" s="6" t="s">
        <v>356</v>
      </c>
      <c r="F65" s="6"/>
    </row>
    <row r="66" customFormat="false" ht="15" hidden="false" customHeight="false" outlineLevel="0" collapsed="false">
      <c r="A66" s="6" t="s">
        <v>352</v>
      </c>
      <c r="B66" s="6" t="s">
        <v>474</v>
      </c>
      <c r="C66" s="6" t="s">
        <v>368</v>
      </c>
      <c r="D66" s="7" t="s">
        <v>475</v>
      </c>
      <c r="E66" s="6" t="s">
        <v>359</v>
      </c>
      <c r="F66" s="6"/>
    </row>
    <row r="67" customFormat="false" ht="23.85" hidden="false" customHeight="false" outlineLevel="0" collapsed="false">
      <c r="A67" s="6" t="s">
        <v>352</v>
      </c>
      <c r="B67" s="6" t="s">
        <v>476</v>
      </c>
      <c r="C67" s="6" t="s">
        <v>368</v>
      </c>
      <c r="D67" s="7" t="s">
        <v>477</v>
      </c>
      <c r="E67" s="6" t="s">
        <v>478</v>
      </c>
      <c r="F67" s="6"/>
    </row>
    <row r="68" customFormat="false" ht="15" hidden="false" customHeight="false" outlineLevel="0" collapsed="false">
      <c r="A68" s="6" t="s">
        <v>352</v>
      </c>
      <c r="B68" s="6" t="s">
        <v>479</v>
      </c>
      <c r="C68" s="6" t="s">
        <v>354</v>
      </c>
      <c r="D68" s="7" t="s">
        <v>480</v>
      </c>
      <c r="E68" s="6" t="s">
        <v>359</v>
      </c>
      <c r="F68" s="6" t="s">
        <v>360</v>
      </c>
    </row>
    <row r="69" customFormat="false" ht="15" hidden="false" customHeight="false" outlineLevel="0" collapsed="false">
      <c r="A69" s="6" t="s">
        <v>481</v>
      </c>
      <c r="B69" s="6" t="s">
        <v>482</v>
      </c>
      <c r="C69" s="6" t="s">
        <v>483</v>
      </c>
      <c r="D69" s="7" t="s">
        <v>484</v>
      </c>
      <c r="E69" s="6" t="s">
        <v>359</v>
      </c>
      <c r="F69" s="6" t="s">
        <v>360</v>
      </c>
    </row>
    <row r="70" customFormat="false" ht="15" hidden="false" customHeight="false" outlineLevel="0" collapsed="false">
      <c r="A70" s="6" t="s">
        <v>481</v>
      </c>
      <c r="B70" s="6" t="s">
        <v>485</v>
      </c>
      <c r="C70" s="6" t="s">
        <v>486</v>
      </c>
      <c r="D70" s="7" t="s">
        <v>487</v>
      </c>
      <c r="E70" s="6" t="s">
        <v>356</v>
      </c>
      <c r="F70" s="6"/>
    </row>
    <row r="71" customFormat="false" ht="15" hidden="false" customHeight="false" outlineLevel="0" collapsed="false">
      <c r="A71" s="6" t="s">
        <v>481</v>
      </c>
      <c r="B71" s="6" t="s">
        <v>488</v>
      </c>
      <c r="C71" s="6" t="s">
        <v>489</v>
      </c>
      <c r="D71" s="7" t="s">
        <v>490</v>
      </c>
      <c r="E71" s="6" t="s">
        <v>359</v>
      </c>
      <c r="F71" s="6" t="s">
        <v>360</v>
      </c>
    </row>
    <row r="72" customFormat="false" ht="15" hidden="false" customHeight="false" outlineLevel="0" collapsed="false">
      <c r="A72" s="6" t="s">
        <v>481</v>
      </c>
      <c r="B72" s="6" t="s">
        <v>491</v>
      </c>
      <c r="C72" s="6" t="s">
        <v>489</v>
      </c>
      <c r="D72" s="7" t="s">
        <v>492</v>
      </c>
      <c r="E72" s="6" t="s">
        <v>359</v>
      </c>
      <c r="F72" s="6"/>
    </row>
    <row r="73" customFormat="false" ht="15" hidden="false" customHeight="false" outlineLevel="0" collapsed="false">
      <c r="A73" s="6" t="s">
        <v>481</v>
      </c>
      <c r="B73" s="6" t="s">
        <v>493</v>
      </c>
      <c r="C73" s="6" t="s">
        <v>489</v>
      </c>
      <c r="D73" s="7" t="s">
        <v>494</v>
      </c>
      <c r="E73" s="6" t="s">
        <v>359</v>
      </c>
      <c r="F73" s="6"/>
    </row>
    <row r="74" customFormat="false" ht="15" hidden="false" customHeight="false" outlineLevel="0" collapsed="false">
      <c r="A74" s="6" t="s">
        <v>481</v>
      </c>
      <c r="B74" s="6" t="s">
        <v>495</v>
      </c>
      <c r="C74" s="6" t="s">
        <v>483</v>
      </c>
      <c r="D74" s="7" t="s">
        <v>496</v>
      </c>
      <c r="E74" s="6" t="s">
        <v>356</v>
      </c>
      <c r="F74" s="6"/>
    </row>
    <row r="75" customFormat="false" ht="15" hidden="false" customHeight="false" outlineLevel="0" collapsed="false">
      <c r="A75" s="6" t="s">
        <v>481</v>
      </c>
      <c r="B75" s="6" t="s">
        <v>497</v>
      </c>
      <c r="C75" s="6" t="s">
        <v>483</v>
      </c>
      <c r="D75" s="7" t="s">
        <v>498</v>
      </c>
      <c r="E75" s="6" t="s">
        <v>359</v>
      </c>
      <c r="F75" s="6"/>
    </row>
    <row r="76" customFormat="false" ht="15" hidden="false" customHeight="false" outlineLevel="0" collapsed="false">
      <c r="A76" s="6" t="s">
        <v>481</v>
      </c>
      <c r="B76" s="6" t="s">
        <v>499</v>
      </c>
      <c r="C76" s="6" t="s">
        <v>486</v>
      </c>
      <c r="D76" s="7" t="s">
        <v>500</v>
      </c>
      <c r="E76" s="6" t="s">
        <v>359</v>
      </c>
      <c r="F76" s="6" t="s">
        <v>360</v>
      </c>
    </row>
    <row r="77" customFormat="false" ht="23.85" hidden="false" customHeight="false" outlineLevel="0" collapsed="false">
      <c r="A77" s="6" t="s">
        <v>481</v>
      </c>
      <c r="B77" s="6" t="s">
        <v>501</v>
      </c>
      <c r="C77" s="6" t="s">
        <v>483</v>
      </c>
      <c r="D77" s="7" t="s">
        <v>502</v>
      </c>
      <c r="E77" s="6" t="s">
        <v>503</v>
      </c>
      <c r="F77" s="6"/>
    </row>
    <row r="78" customFormat="false" ht="15" hidden="false" customHeight="false" outlineLevel="0" collapsed="false">
      <c r="A78" s="6" t="s">
        <v>481</v>
      </c>
      <c r="B78" s="6" t="s">
        <v>504</v>
      </c>
      <c r="C78" s="6" t="s">
        <v>486</v>
      </c>
      <c r="D78" s="7" t="s">
        <v>505</v>
      </c>
      <c r="E78" s="6" t="s">
        <v>356</v>
      </c>
      <c r="F78" s="6" t="s">
        <v>360</v>
      </c>
    </row>
    <row r="79" customFormat="false" ht="15" hidden="false" customHeight="false" outlineLevel="0" collapsed="false">
      <c r="A79" s="6" t="s">
        <v>481</v>
      </c>
      <c r="B79" s="6" t="s">
        <v>506</v>
      </c>
      <c r="C79" s="6" t="s">
        <v>486</v>
      </c>
      <c r="D79" s="7" t="s">
        <v>507</v>
      </c>
      <c r="E79" s="6" t="s">
        <v>359</v>
      </c>
      <c r="F79" s="6"/>
    </row>
    <row r="80" customFormat="false" ht="15" hidden="false" customHeight="false" outlineLevel="0" collapsed="false">
      <c r="A80" s="6" t="s">
        <v>481</v>
      </c>
      <c r="B80" s="6" t="s">
        <v>508</v>
      </c>
      <c r="C80" s="6" t="s">
        <v>486</v>
      </c>
      <c r="D80" s="7" t="s">
        <v>509</v>
      </c>
      <c r="E80" s="6" t="s">
        <v>359</v>
      </c>
      <c r="F80" s="6" t="s">
        <v>360</v>
      </c>
    </row>
    <row r="81" customFormat="false" ht="15" hidden="false" customHeight="false" outlineLevel="0" collapsed="false">
      <c r="A81" s="6" t="s">
        <v>481</v>
      </c>
      <c r="B81" s="6" t="s">
        <v>510</v>
      </c>
      <c r="C81" s="6" t="s">
        <v>486</v>
      </c>
      <c r="D81" s="7" t="s">
        <v>511</v>
      </c>
      <c r="E81" s="6" t="s">
        <v>359</v>
      </c>
      <c r="F81" s="6"/>
    </row>
    <row r="82" customFormat="false" ht="15" hidden="false" customHeight="false" outlineLevel="0" collapsed="false">
      <c r="A82" s="6" t="s">
        <v>481</v>
      </c>
      <c r="B82" s="6" t="s">
        <v>512</v>
      </c>
      <c r="C82" s="6" t="s">
        <v>486</v>
      </c>
      <c r="D82" s="7" t="s">
        <v>513</v>
      </c>
      <c r="E82" s="6" t="s">
        <v>359</v>
      </c>
      <c r="F82" s="6"/>
    </row>
    <row r="83" customFormat="false" ht="15" hidden="false" customHeight="false" outlineLevel="0" collapsed="false">
      <c r="A83" s="6" t="s">
        <v>481</v>
      </c>
      <c r="B83" s="6" t="s">
        <v>514</v>
      </c>
      <c r="C83" s="6" t="s">
        <v>489</v>
      </c>
      <c r="D83" s="7" t="s">
        <v>515</v>
      </c>
      <c r="E83" s="6" t="s">
        <v>356</v>
      </c>
      <c r="F83" s="6"/>
    </row>
    <row r="84" customFormat="false" ht="23.85" hidden="false" customHeight="false" outlineLevel="0" collapsed="false">
      <c r="A84" s="6" t="s">
        <v>481</v>
      </c>
      <c r="B84" s="6" t="s">
        <v>516</v>
      </c>
      <c r="C84" s="6" t="s">
        <v>486</v>
      </c>
      <c r="D84" s="7" t="s">
        <v>517</v>
      </c>
      <c r="E84" s="6" t="s">
        <v>503</v>
      </c>
      <c r="F84" s="6"/>
    </row>
    <row r="85" customFormat="false" ht="15" hidden="false" customHeight="false" outlineLevel="0" collapsed="false">
      <c r="A85" s="6" t="s">
        <v>481</v>
      </c>
      <c r="B85" s="6" t="s">
        <v>518</v>
      </c>
      <c r="C85" s="6" t="s">
        <v>486</v>
      </c>
      <c r="D85" s="7" t="s">
        <v>519</v>
      </c>
      <c r="E85" s="6" t="s">
        <v>359</v>
      </c>
      <c r="F85" s="6"/>
    </row>
    <row r="86" customFormat="false" ht="15" hidden="false" customHeight="false" outlineLevel="0" collapsed="false">
      <c r="A86" s="6" t="s">
        <v>481</v>
      </c>
      <c r="B86" s="6" t="s">
        <v>520</v>
      </c>
      <c r="C86" s="6" t="s">
        <v>486</v>
      </c>
      <c r="D86" s="7" t="s">
        <v>521</v>
      </c>
      <c r="E86" s="6" t="s">
        <v>359</v>
      </c>
      <c r="F86" s="6"/>
    </row>
    <row r="87" customFormat="false" ht="15" hidden="false" customHeight="false" outlineLevel="0" collapsed="false">
      <c r="A87" s="6" t="s">
        <v>481</v>
      </c>
      <c r="B87" s="6" t="s">
        <v>522</v>
      </c>
      <c r="C87" s="6" t="s">
        <v>486</v>
      </c>
      <c r="D87" s="7" t="s">
        <v>523</v>
      </c>
      <c r="E87" s="6" t="s">
        <v>369</v>
      </c>
      <c r="F87" s="6"/>
    </row>
    <row r="88" customFormat="false" ht="15" hidden="false" customHeight="false" outlineLevel="0" collapsed="false">
      <c r="A88" s="6" t="s">
        <v>481</v>
      </c>
      <c r="B88" s="6" t="s">
        <v>524</v>
      </c>
      <c r="C88" s="6" t="s">
        <v>486</v>
      </c>
      <c r="D88" s="7" t="s">
        <v>525</v>
      </c>
      <c r="E88" s="6" t="s">
        <v>359</v>
      </c>
      <c r="F88" s="6"/>
    </row>
    <row r="89" customFormat="false" ht="15" hidden="false" customHeight="false" outlineLevel="0" collapsed="false">
      <c r="A89" s="6" t="s">
        <v>481</v>
      </c>
      <c r="B89" s="6" t="s">
        <v>526</v>
      </c>
      <c r="C89" s="6" t="s">
        <v>483</v>
      </c>
      <c r="D89" s="7" t="s">
        <v>496</v>
      </c>
      <c r="E89" s="6" t="s">
        <v>359</v>
      </c>
      <c r="F89" s="6" t="s">
        <v>360</v>
      </c>
    </row>
    <row r="90" customFormat="false" ht="15" hidden="false" customHeight="false" outlineLevel="0" collapsed="false">
      <c r="A90" s="6" t="s">
        <v>481</v>
      </c>
      <c r="B90" s="6" t="s">
        <v>527</v>
      </c>
      <c r="C90" s="6" t="s">
        <v>483</v>
      </c>
      <c r="D90" s="7" t="s">
        <v>528</v>
      </c>
      <c r="E90" s="6" t="s">
        <v>369</v>
      </c>
      <c r="F90" s="6"/>
    </row>
    <row r="91" customFormat="false" ht="23.85" hidden="false" customHeight="false" outlineLevel="0" collapsed="false">
      <c r="A91" s="6" t="s">
        <v>481</v>
      </c>
      <c r="B91" s="6" t="s">
        <v>529</v>
      </c>
      <c r="C91" s="6" t="s">
        <v>489</v>
      </c>
      <c r="D91" s="7" t="s">
        <v>530</v>
      </c>
      <c r="E91" s="6" t="s">
        <v>503</v>
      </c>
      <c r="F91" s="6"/>
    </row>
    <row r="92" customFormat="false" ht="15" hidden="false" customHeight="false" outlineLevel="0" collapsed="false">
      <c r="A92" s="6" t="s">
        <v>481</v>
      </c>
      <c r="B92" s="6" t="s">
        <v>531</v>
      </c>
      <c r="C92" s="6" t="s">
        <v>489</v>
      </c>
      <c r="D92" s="7" t="s">
        <v>532</v>
      </c>
      <c r="E92" s="6" t="s">
        <v>359</v>
      </c>
      <c r="F92" s="6" t="s">
        <v>360</v>
      </c>
    </row>
    <row r="93" customFormat="false" ht="15" hidden="false" customHeight="false" outlineLevel="0" collapsed="false">
      <c r="A93" s="6" t="s">
        <v>481</v>
      </c>
      <c r="B93" s="6" t="s">
        <v>533</v>
      </c>
      <c r="C93" s="6" t="s">
        <v>486</v>
      </c>
      <c r="D93" s="7" t="s">
        <v>534</v>
      </c>
      <c r="E93" s="6" t="s">
        <v>359</v>
      </c>
      <c r="F93" s="6"/>
    </row>
    <row r="94" customFormat="false" ht="15" hidden="false" customHeight="false" outlineLevel="0" collapsed="false">
      <c r="A94" s="6" t="s">
        <v>481</v>
      </c>
      <c r="B94" s="6" t="s">
        <v>535</v>
      </c>
      <c r="C94" s="6" t="s">
        <v>489</v>
      </c>
      <c r="D94" s="7" t="s">
        <v>536</v>
      </c>
      <c r="E94" s="6" t="s">
        <v>537</v>
      </c>
      <c r="F94" s="6" t="s">
        <v>360</v>
      </c>
    </row>
    <row r="95" customFormat="false" ht="15" hidden="false" customHeight="false" outlineLevel="0" collapsed="false">
      <c r="A95" s="6" t="s">
        <v>481</v>
      </c>
      <c r="B95" s="6" t="s">
        <v>538</v>
      </c>
      <c r="C95" s="6" t="s">
        <v>489</v>
      </c>
      <c r="D95" s="7" t="s">
        <v>539</v>
      </c>
      <c r="E95" s="6" t="s">
        <v>359</v>
      </c>
      <c r="F95" s="6" t="s">
        <v>360</v>
      </c>
    </row>
    <row r="96" customFormat="false" ht="15" hidden="false" customHeight="false" outlineLevel="0" collapsed="false">
      <c r="A96" s="6" t="s">
        <v>481</v>
      </c>
      <c r="B96" s="6" t="s">
        <v>540</v>
      </c>
      <c r="C96" s="6" t="s">
        <v>486</v>
      </c>
      <c r="D96" s="7" t="s">
        <v>541</v>
      </c>
      <c r="E96" s="6" t="s">
        <v>356</v>
      </c>
      <c r="F96" s="6"/>
    </row>
    <row r="97" customFormat="false" ht="15" hidden="false" customHeight="false" outlineLevel="0" collapsed="false">
      <c r="A97" s="6" t="s">
        <v>481</v>
      </c>
      <c r="B97" s="6" t="s">
        <v>542</v>
      </c>
      <c r="C97" s="6" t="s">
        <v>483</v>
      </c>
      <c r="D97" s="7" t="s">
        <v>543</v>
      </c>
      <c r="E97" s="6" t="s">
        <v>359</v>
      </c>
      <c r="F97" s="6"/>
    </row>
    <row r="98" customFormat="false" ht="15" hidden="false" customHeight="false" outlineLevel="0" collapsed="false">
      <c r="A98" s="6" t="s">
        <v>481</v>
      </c>
      <c r="B98" s="6" t="s">
        <v>544</v>
      </c>
      <c r="C98" s="6" t="s">
        <v>486</v>
      </c>
      <c r="D98" s="7" t="s">
        <v>545</v>
      </c>
      <c r="E98" s="6" t="s">
        <v>359</v>
      </c>
      <c r="F98" s="6" t="s">
        <v>360</v>
      </c>
    </row>
    <row r="99" customFormat="false" ht="15" hidden="false" customHeight="false" outlineLevel="0" collapsed="false">
      <c r="A99" s="6" t="s">
        <v>546</v>
      </c>
      <c r="B99" s="6" t="s">
        <v>547</v>
      </c>
      <c r="C99" s="6" t="s">
        <v>548</v>
      </c>
      <c r="D99" s="7" t="s">
        <v>549</v>
      </c>
      <c r="E99" s="6" t="s">
        <v>359</v>
      </c>
      <c r="F99" s="6"/>
    </row>
    <row r="100" customFormat="false" ht="15" hidden="false" customHeight="false" outlineLevel="0" collapsed="false">
      <c r="A100" s="6" t="s">
        <v>546</v>
      </c>
      <c r="B100" s="6" t="s">
        <v>550</v>
      </c>
      <c r="C100" s="6" t="s">
        <v>548</v>
      </c>
      <c r="D100" s="7" t="s">
        <v>551</v>
      </c>
      <c r="E100" s="6" t="s">
        <v>359</v>
      </c>
      <c r="F100" s="6"/>
    </row>
    <row r="101" customFormat="false" ht="23.85" hidden="false" customHeight="false" outlineLevel="0" collapsed="false">
      <c r="A101" s="6" t="s">
        <v>546</v>
      </c>
      <c r="B101" s="6" t="s">
        <v>552</v>
      </c>
      <c r="C101" s="6" t="s">
        <v>548</v>
      </c>
      <c r="D101" s="7" t="s">
        <v>553</v>
      </c>
      <c r="E101" s="6" t="s">
        <v>503</v>
      </c>
      <c r="F101" s="6" t="s">
        <v>360</v>
      </c>
    </row>
    <row r="102" customFormat="false" ht="15" hidden="false" customHeight="false" outlineLevel="0" collapsed="false">
      <c r="A102" s="6" t="s">
        <v>546</v>
      </c>
      <c r="B102" s="6" t="s">
        <v>554</v>
      </c>
      <c r="C102" s="6" t="s">
        <v>548</v>
      </c>
      <c r="D102" s="7" t="s">
        <v>555</v>
      </c>
      <c r="E102" s="6" t="s">
        <v>359</v>
      </c>
      <c r="F102" s="6" t="s">
        <v>360</v>
      </c>
    </row>
    <row r="103" customFormat="false" ht="15" hidden="false" customHeight="false" outlineLevel="0" collapsed="false">
      <c r="A103" s="6" t="s">
        <v>546</v>
      </c>
      <c r="B103" s="6" t="s">
        <v>556</v>
      </c>
      <c r="C103" s="6" t="s">
        <v>548</v>
      </c>
      <c r="D103" s="7" t="s">
        <v>557</v>
      </c>
      <c r="E103" s="6" t="s">
        <v>359</v>
      </c>
      <c r="F103" s="6" t="s">
        <v>360</v>
      </c>
    </row>
    <row r="104" customFormat="false" ht="15" hidden="false" customHeight="false" outlineLevel="0" collapsed="false">
      <c r="A104" s="6" t="s">
        <v>546</v>
      </c>
      <c r="B104" s="6" t="s">
        <v>558</v>
      </c>
      <c r="C104" s="6" t="s">
        <v>548</v>
      </c>
      <c r="D104" s="7" t="s">
        <v>559</v>
      </c>
      <c r="E104" s="6" t="s">
        <v>359</v>
      </c>
      <c r="F104" s="6" t="s">
        <v>360</v>
      </c>
    </row>
    <row r="105" customFormat="false" ht="15" hidden="false" customHeight="false" outlineLevel="0" collapsed="false">
      <c r="A105" s="6" t="s">
        <v>546</v>
      </c>
      <c r="B105" s="6" t="s">
        <v>560</v>
      </c>
      <c r="C105" s="6" t="s">
        <v>561</v>
      </c>
      <c r="D105" s="7" t="s">
        <v>562</v>
      </c>
      <c r="E105" s="6" t="s">
        <v>359</v>
      </c>
      <c r="F105" s="6" t="s">
        <v>360</v>
      </c>
    </row>
    <row r="106" customFormat="false" ht="15" hidden="false" customHeight="false" outlineLevel="0" collapsed="false">
      <c r="A106" s="6" t="s">
        <v>546</v>
      </c>
      <c r="B106" s="6" t="s">
        <v>563</v>
      </c>
      <c r="C106" s="6" t="s">
        <v>548</v>
      </c>
      <c r="D106" s="7" t="s">
        <v>564</v>
      </c>
      <c r="E106" s="6" t="s">
        <v>359</v>
      </c>
      <c r="F106" s="6" t="s">
        <v>360</v>
      </c>
    </row>
    <row r="107" customFormat="false" ht="23.85" hidden="false" customHeight="false" outlineLevel="0" collapsed="false">
      <c r="A107" s="6" t="s">
        <v>546</v>
      </c>
      <c r="B107" s="6" t="s">
        <v>565</v>
      </c>
      <c r="C107" s="6" t="s">
        <v>548</v>
      </c>
      <c r="D107" s="7" t="s">
        <v>566</v>
      </c>
      <c r="E107" s="6" t="s">
        <v>359</v>
      </c>
      <c r="F107" s="6"/>
    </row>
    <row r="108" customFormat="false" ht="15" hidden="false" customHeight="false" outlineLevel="0" collapsed="false">
      <c r="A108" s="6" t="s">
        <v>546</v>
      </c>
      <c r="B108" s="6" t="s">
        <v>567</v>
      </c>
      <c r="C108" s="6" t="s">
        <v>548</v>
      </c>
      <c r="D108" s="7" t="s">
        <v>568</v>
      </c>
      <c r="E108" s="6" t="s">
        <v>359</v>
      </c>
      <c r="F108" s="6" t="s">
        <v>360</v>
      </c>
    </row>
    <row r="109" customFormat="false" ht="15" hidden="false" customHeight="false" outlineLevel="0" collapsed="false">
      <c r="A109" s="6" t="s">
        <v>546</v>
      </c>
      <c r="B109" s="6" t="s">
        <v>569</v>
      </c>
      <c r="C109" s="6" t="s">
        <v>548</v>
      </c>
      <c r="D109" s="7" t="s">
        <v>570</v>
      </c>
      <c r="E109" s="6" t="s">
        <v>369</v>
      </c>
      <c r="F109" s="6" t="s">
        <v>360</v>
      </c>
    </row>
    <row r="110" customFormat="false" ht="15" hidden="false" customHeight="false" outlineLevel="0" collapsed="false">
      <c r="A110" s="6" t="s">
        <v>546</v>
      </c>
      <c r="B110" s="6" t="s">
        <v>571</v>
      </c>
      <c r="C110" s="6" t="s">
        <v>548</v>
      </c>
      <c r="D110" s="7" t="s">
        <v>572</v>
      </c>
      <c r="E110" s="6" t="s">
        <v>359</v>
      </c>
      <c r="F110" s="6" t="s">
        <v>360</v>
      </c>
    </row>
    <row r="111" customFormat="false" ht="15" hidden="false" customHeight="false" outlineLevel="0" collapsed="false">
      <c r="A111" s="6" t="s">
        <v>546</v>
      </c>
      <c r="B111" s="6" t="s">
        <v>573</v>
      </c>
      <c r="C111" s="6" t="s">
        <v>548</v>
      </c>
      <c r="D111" s="7" t="s">
        <v>574</v>
      </c>
      <c r="E111" s="6" t="s">
        <v>359</v>
      </c>
      <c r="F111" s="6" t="s">
        <v>360</v>
      </c>
    </row>
    <row r="112" customFormat="false" ht="15" hidden="false" customHeight="false" outlineLevel="0" collapsed="false">
      <c r="A112" s="6" t="s">
        <v>546</v>
      </c>
      <c r="B112" s="6" t="s">
        <v>575</v>
      </c>
      <c r="C112" s="6" t="s">
        <v>548</v>
      </c>
      <c r="D112" s="7" t="s">
        <v>576</v>
      </c>
      <c r="E112" s="6" t="s">
        <v>356</v>
      </c>
      <c r="F112" s="6" t="s">
        <v>360</v>
      </c>
    </row>
    <row r="113" customFormat="false" ht="15" hidden="false" customHeight="false" outlineLevel="0" collapsed="false">
      <c r="A113" s="6" t="s">
        <v>546</v>
      </c>
      <c r="B113" s="6" t="s">
        <v>577</v>
      </c>
      <c r="C113" s="6" t="s">
        <v>548</v>
      </c>
      <c r="D113" s="7" t="s">
        <v>578</v>
      </c>
      <c r="E113" s="6" t="s">
        <v>359</v>
      </c>
      <c r="F113" s="6" t="s">
        <v>360</v>
      </c>
    </row>
    <row r="114" customFormat="false" ht="15" hidden="false" customHeight="false" outlineLevel="0" collapsed="false">
      <c r="A114" s="6" t="s">
        <v>546</v>
      </c>
      <c r="B114" s="6" t="s">
        <v>579</v>
      </c>
      <c r="C114" s="6" t="s">
        <v>548</v>
      </c>
      <c r="D114" s="7" t="s">
        <v>580</v>
      </c>
      <c r="E114" s="6" t="s">
        <v>369</v>
      </c>
      <c r="F114" s="6"/>
    </row>
    <row r="115" customFormat="false" ht="15" hidden="false" customHeight="false" outlineLevel="0" collapsed="false">
      <c r="A115" s="6" t="s">
        <v>546</v>
      </c>
      <c r="B115" s="6" t="s">
        <v>581</v>
      </c>
      <c r="C115" s="6" t="s">
        <v>561</v>
      </c>
      <c r="D115" s="7" t="s">
        <v>582</v>
      </c>
      <c r="E115" s="6" t="s">
        <v>369</v>
      </c>
      <c r="F115" s="6" t="s">
        <v>360</v>
      </c>
    </row>
    <row r="116" customFormat="false" ht="15" hidden="false" customHeight="false" outlineLevel="0" collapsed="false">
      <c r="A116" s="6" t="s">
        <v>546</v>
      </c>
      <c r="B116" s="6" t="s">
        <v>583</v>
      </c>
      <c r="C116" s="6" t="s">
        <v>548</v>
      </c>
      <c r="D116" s="7" t="s">
        <v>584</v>
      </c>
      <c r="E116" s="6" t="s">
        <v>356</v>
      </c>
      <c r="F116" s="6" t="s">
        <v>360</v>
      </c>
    </row>
    <row r="117" customFormat="false" ht="15" hidden="false" customHeight="false" outlineLevel="0" collapsed="false">
      <c r="A117" s="6" t="s">
        <v>546</v>
      </c>
      <c r="B117" s="6" t="s">
        <v>585</v>
      </c>
      <c r="C117" s="6" t="s">
        <v>548</v>
      </c>
      <c r="D117" s="7" t="s">
        <v>586</v>
      </c>
      <c r="E117" s="6" t="s">
        <v>359</v>
      </c>
      <c r="F117" s="6"/>
    </row>
    <row r="118" customFormat="false" ht="23.85" hidden="false" customHeight="false" outlineLevel="0" collapsed="false">
      <c r="A118" s="6" t="s">
        <v>546</v>
      </c>
      <c r="B118" s="6" t="s">
        <v>587</v>
      </c>
      <c r="C118" s="6" t="s">
        <v>548</v>
      </c>
      <c r="D118" s="7" t="s">
        <v>588</v>
      </c>
      <c r="E118" s="6" t="s">
        <v>503</v>
      </c>
      <c r="F118" s="6" t="s">
        <v>360</v>
      </c>
    </row>
    <row r="119" customFormat="false" ht="15" hidden="false" customHeight="false" outlineLevel="0" collapsed="false">
      <c r="A119" s="6" t="s">
        <v>546</v>
      </c>
      <c r="B119" s="6" t="s">
        <v>589</v>
      </c>
      <c r="C119" s="6" t="s">
        <v>548</v>
      </c>
      <c r="D119" s="7" t="s">
        <v>590</v>
      </c>
      <c r="E119" s="6" t="s">
        <v>369</v>
      </c>
      <c r="F119" s="6"/>
    </row>
    <row r="120" customFormat="false" ht="15" hidden="false" customHeight="false" outlineLevel="0" collapsed="false">
      <c r="A120" s="6" t="s">
        <v>546</v>
      </c>
      <c r="B120" s="6" t="s">
        <v>591</v>
      </c>
      <c r="C120" s="6" t="s">
        <v>548</v>
      </c>
      <c r="D120" s="7" t="s">
        <v>592</v>
      </c>
      <c r="E120" s="6" t="s">
        <v>359</v>
      </c>
      <c r="F120" s="6" t="s">
        <v>360</v>
      </c>
    </row>
    <row r="121" customFormat="false" ht="15" hidden="false" customHeight="false" outlineLevel="0" collapsed="false">
      <c r="A121" s="6" t="s">
        <v>546</v>
      </c>
      <c r="B121" s="6" t="s">
        <v>593</v>
      </c>
      <c r="C121" s="6" t="s">
        <v>548</v>
      </c>
      <c r="D121" s="7" t="s">
        <v>594</v>
      </c>
      <c r="E121" s="6" t="s">
        <v>359</v>
      </c>
      <c r="F121" s="6" t="s">
        <v>360</v>
      </c>
    </row>
    <row r="122" customFormat="false" ht="15" hidden="false" customHeight="false" outlineLevel="0" collapsed="false">
      <c r="A122" s="6" t="s">
        <v>546</v>
      </c>
      <c r="B122" s="6" t="s">
        <v>595</v>
      </c>
      <c r="C122" s="6" t="s">
        <v>596</v>
      </c>
      <c r="D122" s="7" t="s">
        <v>597</v>
      </c>
      <c r="E122" s="6" t="s">
        <v>359</v>
      </c>
      <c r="F122" s="6" t="s">
        <v>360</v>
      </c>
    </row>
    <row r="123" customFormat="false" ht="15" hidden="false" customHeight="false" outlineLevel="0" collapsed="false">
      <c r="A123" s="6" t="s">
        <v>546</v>
      </c>
      <c r="B123" s="6" t="s">
        <v>598</v>
      </c>
      <c r="C123" s="6" t="s">
        <v>548</v>
      </c>
      <c r="D123" s="7" t="s">
        <v>599</v>
      </c>
      <c r="E123" s="6" t="s">
        <v>359</v>
      </c>
      <c r="F123" s="6" t="s">
        <v>360</v>
      </c>
    </row>
    <row r="124" customFormat="false" ht="15" hidden="false" customHeight="false" outlineLevel="0" collapsed="false">
      <c r="A124" s="6" t="s">
        <v>546</v>
      </c>
      <c r="B124" s="6" t="s">
        <v>600</v>
      </c>
      <c r="C124" s="6" t="s">
        <v>548</v>
      </c>
      <c r="D124" s="7" t="s">
        <v>601</v>
      </c>
      <c r="E124" s="6" t="s">
        <v>359</v>
      </c>
      <c r="F124" s="6" t="s">
        <v>360</v>
      </c>
    </row>
    <row r="125" customFormat="false" ht="15" hidden="false" customHeight="false" outlineLevel="0" collapsed="false">
      <c r="A125" s="6" t="s">
        <v>546</v>
      </c>
      <c r="B125" s="6" t="s">
        <v>602</v>
      </c>
      <c r="C125" s="6" t="s">
        <v>548</v>
      </c>
      <c r="D125" s="7" t="s">
        <v>603</v>
      </c>
      <c r="E125" s="6" t="s">
        <v>359</v>
      </c>
      <c r="F125" s="6"/>
    </row>
    <row r="126" customFormat="false" ht="15" hidden="false" customHeight="false" outlineLevel="0" collapsed="false">
      <c r="A126" s="6" t="s">
        <v>546</v>
      </c>
      <c r="B126" s="6" t="s">
        <v>604</v>
      </c>
      <c r="C126" s="6" t="s">
        <v>548</v>
      </c>
      <c r="D126" s="7" t="s">
        <v>605</v>
      </c>
      <c r="E126" s="6" t="s">
        <v>359</v>
      </c>
      <c r="F126" s="6"/>
    </row>
    <row r="127" customFormat="false" ht="15" hidden="false" customHeight="false" outlineLevel="0" collapsed="false">
      <c r="A127" s="6" t="s">
        <v>546</v>
      </c>
      <c r="B127" s="6" t="s">
        <v>606</v>
      </c>
      <c r="C127" s="6" t="s">
        <v>548</v>
      </c>
      <c r="D127" s="7" t="s">
        <v>607</v>
      </c>
      <c r="E127" s="6" t="s">
        <v>359</v>
      </c>
      <c r="F127" s="6" t="s">
        <v>360</v>
      </c>
    </row>
    <row r="128" customFormat="false" ht="15" hidden="false" customHeight="false" outlineLevel="0" collapsed="false">
      <c r="A128" s="6" t="s">
        <v>546</v>
      </c>
      <c r="B128" s="6" t="s">
        <v>608</v>
      </c>
      <c r="C128" s="6" t="s">
        <v>609</v>
      </c>
      <c r="D128" s="7" t="s">
        <v>610</v>
      </c>
      <c r="E128" s="6" t="s">
        <v>356</v>
      </c>
      <c r="F128" s="6" t="s">
        <v>360</v>
      </c>
    </row>
    <row r="129" customFormat="false" ht="23.85" hidden="false" customHeight="false" outlineLevel="0" collapsed="false">
      <c r="A129" s="6" t="s">
        <v>546</v>
      </c>
      <c r="B129" s="6" t="s">
        <v>611</v>
      </c>
      <c r="C129" s="6" t="s">
        <v>548</v>
      </c>
      <c r="D129" s="7" t="s">
        <v>612</v>
      </c>
      <c r="E129" s="6" t="s">
        <v>613</v>
      </c>
      <c r="F129" s="6"/>
    </row>
    <row r="130" customFormat="false" ht="15" hidden="false" customHeight="false" outlineLevel="0" collapsed="false">
      <c r="A130" s="6" t="s">
        <v>546</v>
      </c>
      <c r="B130" s="6" t="s">
        <v>614</v>
      </c>
      <c r="C130" s="6" t="s">
        <v>561</v>
      </c>
      <c r="D130" s="7" t="s">
        <v>615</v>
      </c>
      <c r="E130" s="6" t="s">
        <v>359</v>
      </c>
      <c r="F130" s="6"/>
    </row>
    <row r="131" customFormat="false" ht="15" hidden="false" customHeight="false" outlineLevel="0" collapsed="false">
      <c r="A131" s="6" t="s">
        <v>546</v>
      </c>
      <c r="B131" s="6" t="s">
        <v>616</v>
      </c>
      <c r="C131" s="6" t="s">
        <v>617</v>
      </c>
      <c r="D131" s="7" t="s">
        <v>618</v>
      </c>
      <c r="E131" s="6" t="s">
        <v>359</v>
      </c>
      <c r="F131" s="6" t="s">
        <v>360</v>
      </c>
    </row>
    <row r="132" customFormat="false" ht="15" hidden="false" customHeight="false" outlineLevel="0" collapsed="false">
      <c r="A132" s="6" t="s">
        <v>546</v>
      </c>
      <c r="B132" s="6" t="s">
        <v>619</v>
      </c>
      <c r="C132" s="6" t="s">
        <v>617</v>
      </c>
      <c r="D132" s="7" t="s">
        <v>620</v>
      </c>
      <c r="E132" s="6" t="s">
        <v>359</v>
      </c>
      <c r="F132" s="6" t="s">
        <v>360</v>
      </c>
    </row>
    <row r="133" customFormat="false" ht="15" hidden="false" customHeight="false" outlineLevel="0" collapsed="false">
      <c r="A133" s="6" t="s">
        <v>546</v>
      </c>
      <c r="B133" s="6" t="s">
        <v>621</v>
      </c>
      <c r="C133" s="6" t="s">
        <v>617</v>
      </c>
      <c r="D133" s="7" t="s">
        <v>622</v>
      </c>
      <c r="E133" s="6" t="s">
        <v>359</v>
      </c>
      <c r="F133" s="6" t="s">
        <v>360</v>
      </c>
    </row>
    <row r="134" customFormat="false" ht="15" hidden="false" customHeight="false" outlineLevel="0" collapsed="false">
      <c r="A134" s="6" t="s">
        <v>546</v>
      </c>
      <c r="B134" s="6" t="s">
        <v>623</v>
      </c>
      <c r="C134" s="6" t="s">
        <v>548</v>
      </c>
      <c r="D134" s="7" t="s">
        <v>624</v>
      </c>
      <c r="E134" s="6" t="s">
        <v>359</v>
      </c>
      <c r="F134" s="6" t="s">
        <v>360</v>
      </c>
    </row>
    <row r="135" customFormat="false" ht="23.85" hidden="false" customHeight="false" outlineLevel="0" collapsed="false">
      <c r="A135" s="6" t="s">
        <v>546</v>
      </c>
      <c r="B135" s="6" t="s">
        <v>625</v>
      </c>
      <c r="C135" s="6" t="s">
        <v>548</v>
      </c>
      <c r="D135" s="7" t="s">
        <v>626</v>
      </c>
      <c r="E135" s="6" t="s">
        <v>613</v>
      </c>
      <c r="F135" s="6"/>
    </row>
    <row r="136" customFormat="false" ht="15" hidden="false" customHeight="false" outlineLevel="0" collapsed="false">
      <c r="A136" s="6" t="s">
        <v>546</v>
      </c>
      <c r="B136" s="6" t="s">
        <v>627</v>
      </c>
      <c r="C136" s="6" t="s">
        <v>548</v>
      </c>
      <c r="D136" s="7" t="s">
        <v>628</v>
      </c>
      <c r="E136" s="6" t="s">
        <v>359</v>
      </c>
      <c r="F136" s="6"/>
    </row>
    <row r="137" customFormat="false" ht="15" hidden="false" customHeight="false" outlineLevel="0" collapsed="false">
      <c r="A137" s="6" t="s">
        <v>546</v>
      </c>
      <c r="B137" s="6" t="s">
        <v>629</v>
      </c>
      <c r="C137" s="6" t="s">
        <v>548</v>
      </c>
      <c r="D137" s="7" t="s">
        <v>630</v>
      </c>
      <c r="E137" s="6" t="s">
        <v>369</v>
      </c>
      <c r="F137" s="6" t="s">
        <v>360</v>
      </c>
    </row>
    <row r="138" customFormat="false" ht="15" hidden="false" customHeight="false" outlineLevel="0" collapsed="false">
      <c r="A138" s="6" t="s">
        <v>546</v>
      </c>
      <c r="B138" s="6" t="s">
        <v>631</v>
      </c>
      <c r="C138" s="6" t="s">
        <v>548</v>
      </c>
      <c r="D138" s="7" t="s">
        <v>632</v>
      </c>
      <c r="E138" s="6" t="s">
        <v>359</v>
      </c>
      <c r="F138" s="6"/>
    </row>
    <row r="139" customFormat="false" ht="15" hidden="false" customHeight="false" outlineLevel="0" collapsed="false">
      <c r="A139" s="6" t="s">
        <v>546</v>
      </c>
      <c r="B139" s="6" t="s">
        <v>633</v>
      </c>
      <c r="C139" s="6" t="s">
        <v>548</v>
      </c>
      <c r="D139" s="7" t="s">
        <v>634</v>
      </c>
      <c r="E139" s="6" t="s">
        <v>359</v>
      </c>
      <c r="F139" s="6" t="s">
        <v>360</v>
      </c>
    </row>
    <row r="140" customFormat="false" ht="15" hidden="false" customHeight="false" outlineLevel="0" collapsed="false">
      <c r="A140" s="6" t="s">
        <v>546</v>
      </c>
      <c r="B140" s="6" t="s">
        <v>635</v>
      </c>
      <c r="C140" s="6" t="s">
        <v>548</v>
      </c>
      <c r="D140" s="7" t="s">
        <v>636</v>
      </c>
      <c r="E140" s="6" t="s">
        <v>359</v>
      </c>
      <c r="F140" s="6" t="s">
        <v>360</v>
      </c>
    </row>
    <row r="141" customFormat="false" ht="15" hidden="false" customHeight="false" outlineLevel="0" collapsed="false">
      <c r="A141" s="6" t="s">
        <v>546</v>
      </c>
      <c r="B141" s="6" t="s">
        <v>637</v>
      </c>
      <c r="C141" s="6" t="s">
        <v>548</v>
      </c>
      <c r="D141" s="7" t="s">
        <v>638</v>
      </c>
      <c r="E141" s="6" t="s">
        <v>359</v>
      </c>
      <c r="F141" s="6" t="s">
        <v>360</v>
      </c>
    </row>
    <row r="142" customFormat="false" ht="15" hidden="false" customHeight="false" outlineLevel="0" collapsed="false">
      <c r="A142" s="6" t="s">
        <v>546</v>
      </c>
      <c r="B142" s="6" t="s">
        <v>639</v>
      </c>
      <c r="C142" s="6" t="s">
        <v>548</v>
      </c>
      <c r="D142" s="7" t="s">
        <v>640</v>
      </c>
      <c r="E142" s="6" t="s">
        <v>359</v>
      </c>
      <c r="F142" s="6" t="s">
        <v>360</v>
      </c>
    </row>
    <row r="143" customFormat="false" ht="15" hidden="false" customHeight="false" outlineLevel="0" collapsed="false">
      <c r="A143" s="6" t="s">
        <v>546</v>
      </c>
      <c r="B143" s="6" t="s">
        <v>641</v>
      </c>
      <c r="C143" s="6" t="s">
        <v>609</v>
      </c>
      <c r="D143" s="7" t="s">
        <v>642</v>
      </c>
      <c r="E143" s="6" t="s">
        <v>369</v>
      </c>
      <c r="F143" s="6"/>
    </row>
    <row r="144" customFormat="false" ht="15" hidden="false" customHeight="false" outlineLevel="0" collapsed="false">
      <c r="A144" s="6" t="s">
        <v>546</v>
      </c>
      <c r="B144" s="6" t="s">
        <v>643</v>
      </c>
      <c r="C144" s="6" t="s">
        <v>561</v>
      </c>
      <c r="D144" s="7" t="s">
        <v>644</v>
      </c>
      <c r="E144" s="6" t="s">
        <v>359</v>
      </c>
      <c r="F144" s="6"/>
    </row>
    <row r="145" customFormat="false" ht="15" hidden="false" customHeight="false" outlineLevel="0" collapsed="false">
      <c r="A145" s="6" t="s">
        <v>546</v>
      </c>
      <c r="B145" s="6" t="s">
        <v>645</v>
      </c>
      <c r="C145" s="6" t="s">
        <v>548</v>
      </c>
      <c r="D145" s="7" t="s">
        <v>646</v>
      </c>
      <c r="E145" s="6" t="s">
        <v>359</v>
      </c>
      <c r="F145" s="6"/>
    </row>
    <row r="146" customFormat="false" ht="15" hidden="false" customHeight="false" outlineLevel="0" collapsed="false">
      <c r="A146" s="6" t="s">
        <v>546</v>
      </c>
      <c r="B146" s="6" t="s">
        <v>647</v>
      </c>
      <c r="C146" s="6" t="s">
        <v>548</v>
      </c>
      <c r="D146" s="7" t="s">
        <v>648</v>
      </c>
      <c r="E146" s="6" t="s">
        <v>537</v>
      </c>
      <c r="F146" s="6"/>
    </row>
    <row r="147" customFormat="false" ht="15" hidden="false" customHeight="false" outlineLevel="0" collapsed="false">
      <c r="A147" s="6" t="s">
        <v>546</v>
      </c>
      <c r="B147" s="6" t="s">
        <v>649</v>
      </c>
      <c r="C147" s="6" t="s">
        <v>548</v>
      </c>
      <c r="D147" s="7" t="s">
        <v>650</v>
      </c>
      <c r="E147" s="6" t="s">
        <v>369</v>
      </c>
      <c r="F147" s="6"/>
    </row>
    <row r="148" customFormat="false" ht="15" hidden="false" customHeight="false" outlineLevel="0" collapsed="false">
      <c r="A148" s="6" t="s">
        <v>546</v>
      </c>
      <c r="B148" s="6" t="s">
        <v>651</v>
      </c>
      <c r="C148" s="6" t="s">
        <v>548</v>
      </c>
      <c r="D148" s="7" t="s">
        <v>652</v>
      </c>
      <c r="E148" s="6" t="s">
        <v>359</v>
      </c>
      <c r="F148" s="6" t="s">
        <v>360</v>
      </c>
    </row>
    <row r="149" customFormat="false" ht="15" hidden="false" customHeight="false" outlineLevel="0" collapsed="false">
      <c r="A149" s="6" t="s">
        <v>546</v>
      </c>
      <c r="B149" s="6" t="s">
        <v>653</v>
      </c>
      <c r="C149" s="6" t="s">
        <v>548</v>
      </c>
      <c r="D149" s="7" t="s">
        <v>654</v>
      </c>
      <c r="E149" s="6" t="s">
        <v>369</v>
      </c>
      <c r="F149" s="6" t="s">
        <v>360</v>
      </c>
    </row>
    <row r="150" customFormat="false" ht="15" hidden="false" customHeight="false" outlineLevel="0" collapsed="false">
      <c r="A150" s="6" t="s">
        <v>546</v>
      </c>
      <c r="B150" s="6" t="s">
        <v>655</v>
      </c>
      <c r="C150" s="6" t="s">
        <v>561</v>
      </c>
      <c r="D150" s="7" t="s">
        <v>656</v>
      </c>
      <c r="E150" s="6" t="s">
        <v>356</v>
      </c>
      <c r="F150" s="6"/>
    </row>
    <row r="151" customFormat="false" ht="15" hidden="false" customHeight="false" outlineLevel="0" collapsed="false">
      <c r="A151" s="6" t="s">
        <v>546</v>
      </c>
      <c r="B151" s="6" t="s">
        <v>657</v>
      </c>
      <c r="C151" s="6" t="s">
        <v>548</v>
      </c>
      <c r="D151" s="7" t="s">
        <v>658</v>
      </c>
      <c r="E151" s="6" t="s">
        <v>359</v>
      </c>
      <c r="F151" s="6"/>
    </row>
    <row r="152" customFormat="false" ht="15" hidden="false" customHeight="false" outlineLevel="0" collapsed="false">
      <c r="A152" s="6" t="s">
        <v>546</v>
      </c>
      <c r="B152" s="6" t="s">
        <v>659</v>
      </c>
      <c r="C152" s="6" t="s">
        <v>548</v>
      </c>
      <c r="D152" s="7" t="s">
        <v>660</v>
      </c>
      <c r="E152" s="6" t="s">
        <v>359</v>
      </c>
      <c r="F152" s="6"/>
    </row>
    <row r="153" customFormat="false" ht="15" hidden="false" customHeight="false" outlineLevel="0" collapsed="false">
      <c r="A153" s="6" t="s">
        <v>546</v>
      </c>
      <c r="B153" s="6" t="s">
        <v>661</v>
      </c>
      <c r="C153" s="6" t="s">
        <v>548</v>
      </c>
      <c r="D153" s="7" t="s">
        <v>662</v>
      </c>
      <c r="E153" s="6" t="s">
        <v>359</v>
      </c>
      <c r="F153" s="6" t="s">
        <v>360</v>
      </c>
    </row>
    <row r="154" customFormat="false" ht="15" hidden="false" customHeight="false" outlineLevel="0" collapsed="false">
      <c r="A154" s="6" t="s">
        <v>546</v>
      </c>
      <c r="B154" s="6" t="s">
        <v>663</v>
      </c>
      <c r="C154" s="6" t="s">
        <v>548</v>
      </c>
      <c r="D154" s="7" t="s">
        <v>664</v>
      </c>
      <c r="E154" s="6" t="s">
        <v>356</v>
      </c>
      <c r="F154" s="6"/>
    </row>
    <row r="155" customFormat="false" ht="15" hidden="false" customHeight="false" outlineLevel="0" collapsed="false">
      <c r="A155" s="6" t="s">
        <v>546</v>
      </c>
      <c r="B155" s="6" t="s">
        <v>665</v>
      </c>
      <c r="C155" s="6" t="s">
        <v>548</v>
      </c>
      <c r="D155" s="7" t="s">
        <v>666</v>
      </c>
      <c r="E155" s="6" t="s">
        <v>356</v>
      </c>
      <c r="F155" s="6"/>
    </row>
    <row r="156" customFormat="false" ht="23.85" hidden="false" customHeight="false" outlineLevel="0" collapsed="false">
      <c r="A156" s="6" t="s">
        <v>546</v>
      </c>
      <c r="B156" s="6" t="s">
        <v>667</v>
      </c>
      <c r="C156" s="6" t="s">
        <v>561</v>
      </c>
      <c r="D156" s="7" t="s">
        <v>668</v>
      </c>
      <c r="E156" s="6" t="s">
        <v>613</v>
      </c>
      <c r="F156" s="6"/>
    </row>
    <row r="157" customFormat="false" ht="15" hidden="false" customHeight="false" outlineLevel="0" collapsed="false">
      <c r="A157" s="6" t="s">
        <v>546</v>
      </c>
      <c r="B157" s="6" t="s">
        <v>669</v>
      </c>
      <c r="C157" s="6" t="s">
        <v>548</v>
      </c>
      <c r="D157" s="7" t="s">
        <v>670</v>
      </c>
      <c r="E157" s="6" t="s">
        <v>537</v>
      </c>
      <c r="F157" s="6"/>
    </row>
    <row r="158" customFormat="false" ht="15" hidden="false" customHeight="false" outlineLevel="0" collapsed="false">
      <c r="A158" s="6" t="s">
        <v>546</v>
      </c>
      <c r="B158" s="6" t="s">
        <v>671</v>
      </c>
      <c r="C158" s="6" t="s">
        <v>561</v>
      </c>
      <c r="D158" s="7" t="s">
        <v>672</v>
      </c>
      <c r="E158" s="6" t="s">
        <v>359</v>
      </c>
      <c r="F158" s="6"/>
    </row>
    <row r="159" customFormat="false" ht="15" hidden="false" customHeight="false" outlineLevel="0" collapsed="false">
      <c r="A159" s="6" t="s">
        <v>546</v>
      </c>
      <c r="B159" s="6" t="s">
        <v>673</v>
      </c>
      <c r="C159" s="6" t="s">
        <v>548</v>
      </c>
      <c r="D159" s="7" t="s">
        <v>674</v>
      </c>
      <c r="E159" s="6" t="s">
        <v>359</v>
      </c>
      <c r="F159" s="6" t="s">
        <v>360</v>
      </c>
    </row>
    <row r="160" customFormat="false" ht="15" hidden="false" customHeight="false" outlineLevel="0" collapsed="false">
      <c r="A160" s="6" t="s">
        <v>546</v>
      </c>
      <c r="B160" s="6" t="s">
        <v>675</v>
      </c>
      <c r="C160" s="6" t="s">
        <v>548</v>
      </c>
      <c r="D160" s="7" t="s">
        <v>676</v>
      </c>
      <c r="E160" s="6" t="s">
        <v>359</v>
      </c>
      <c r="F160" s="6"/>
    </row>
    <row r="161" customFormat="false" ht="15" hidden="false" customHeight="false" outlineLevel="0" collapsed="false">
      <c r="A161" s="6" t="s">
        <v>546</v>
      </c>
      <c r="B161" s="6" t="s">
        <v>677</v>
      </c>
      <c r="C161" s="6" t="s">
        <v>548</v>
      </c>
      <c r="D161" s="7" t="s">
        <v>678</v>
      </c>
      <c r="E161" s="6" t="s">
        <v>359</v>
      </c>
      <c r="F161" s="6" t="s">
        <v>360</v>
      </c>
    </row>
    <row r="162" customFormat="false" ht="15" hidden="false" customHeight="false" outlineLevel="0" collapsed="false">
      <c r="A162" s="6" t="s">
        <v>546</v>
      </c>
      <c r="B162" s="6" t="s">
        <v>679</v>
      </c>
      <c r="C162" s="6" t="s">
        <v>548</v>
      </c>
      <c r="D162" s="7" t="s">
        <v>680</v>
      </c>
      <c r="E162" s="6" t="s">
        <v>359</v>
      </c>
      <c r="F162" s="6"/>
    </row>
    <row r="163" customFormat="false" ht="15" hidden="false" customHeight="false" outlineLevel="0" collapsed="false">
      <c r="A163" s="6" t="s">
        <v>546</v>
      </c>
      <c r="B163" s="6" t="s">
        <v>681</v>
      </c>
      <c r="C163" s="6" t="s">
        <v>548</v>
      </c>
      <c r="D163" s="7" t="s">
        <v>682</v>
      </c>
      <c r="E163" s="6" t="s">
        <v>359</v>
      </c>
      <c r="F163" s="6" t="s">
        <v>360</v>
      </c>
    </row>
    <row r="164" customFormat="false" ht="23.85" hidden="false" customHeight="false" outlineLevel="0" collapsed="false">
      <c r="A164" s="6" t="s">
        <v>546</v>
      </c>
      <c r="B164" s="6" t="s">
        <v>683</v>
      </c>
      <c r="C164" s="6" t="s">
        <v>561</v>
      </c>
      <c r="D164" s="7" t="s">
        <v>684</v>
      </c>
      <c r="E164" s="6" t="s">
        <v>613</v>
      </c>
      <c r="F164" s="6"/>
    </row>
    <row r="165" customFormat="false" ht="23.85" hidden="false" customHeight="false" outlineLevel="0" collapsed="false">
      <c r="A165" s="6" t="s">
        <v>546</v>
      </c>
      <c r="B165" s="6" t="s">
        <v>685</v>
      </c>
      <c r="C165" s="6" t="s">
        <v>548</v>
      </c>
      <c r="D165" s="7" t="s">
        <v>686</v>
      </c>
      <c r="E165" s="6" t="s">
        <v>503</v>
      </c>
      <c r="F165" s="6" t="s">
        <v>360</v>
      </c>
    </row>
    <row r="166" customFormat="false" ht="15" hidden="false" customHeight="false" outlineLevel="0" collapsed="false">
      <c r="A166" s="6" t="s">
        <v>546</v>
      </c>
      <c r="B166" s="6" t="s">
        <v>687</v>
      </c>
      <c r="C166" s="6" t="s">
        <v>548</v>
      </c>
      <c r="D166" s="7" t="s">
        <v>688</v>
      </c>
      <c r="E166" s="6" t="s">
        <v>537</v>
      </c>
      <c r="F166" s="6"/>
    </row>
    <row r="167" customFormat="false" ht="23.85" hidden="false" customHeight="false" outlineLevel="0" collapsed="false">
      <c r="A167" s="6" t="s">
        <v>546</v>
      </c>
      <c r="B167" s="6" t="s">
        <v>689</v>
      </c>
      <c r="C167" s="6" t="s">
        <v>548</v>
      </c>
      <c r="D167" s="7" t="s">
        <v>690</v>
      </c>
      <c r="E167" s="6" t="s">
        <v>691</v>
      </c>
      <c r="F167" s="6"/>
    </row>
    <row r="168" customFormat="false" ht="15" hidden="false" customHeight="false" outlineLevel="0" collapsed="false">
      <c r="A168" s="6" t="s">
        <v>546</v>
      </c>
      <c r="B168" s="6" t="s">
        <v>692</v>
      </c>
      <c r="C168" s="6" t="s">
        <v>561</v>
      </c>
      <c r="D168" s="7" t="s">
        <v>693</v>
      </c>
      <c r="E168" s="6" t="s">
        <v>359</v>
      </c>
      <c r="F168" s="6"/>
    </row>
    <row r="169" customFormat="false" ht="23.85" hidden="false" customHeight="false" outlineLevel="0" collapsed="false">
      <c r="A169" s="6" t="s">
        <v>694</v>
      </c>
      <c r="B169" s="6" t="s">
        <v>695</v>
      </c>
      <c r="C169" s="6" t="s">
        <v>696</v>
      </c>
      <c r="D169" s="7" t="s">
        <v>697</v>
      </c>
      <c r="E169" s="6" t="s">
        <v>359</v>
      </c>
      <c r="F169" s="6"/>
    </row>
    <row r="170" customFormat="false" ht="23.85" hidden="false" customHeight="false" outlineLevel="0" collapsed="false">
      <c r="A170" s="6" t="s">
        <v>694</v>
      </c>
      <c r="B170" s="6" t="s">
        <v>698</v>
      </c>
      <c r="C170" s="6" t="s">
        <v>696</v>
      </c>
      <c r="D170" s="7" t="s">
        <v>699</v>
      </c>
      <c r="E170" s="6" t="s">
        <v>359</v>
      </c>
      <c r="F170" s="6"/>
    </row>
    <row r="171" customFormat="false" ht="23.85" hidden="false" customHeight="false" outlineLevel="0" collapsed="false">
      <c r="A171" s="6" t="s">
        <v>694</v>
      </c>
      <c r="B171" s="6" t="s">
        <v>700</v>
      </c>
      <c r="C171" s="6" t="s">
        <v>696</v>
      </c>
      <c r="D171" s="7" t="s">
        <v>701</v>
      </c>
      <c r="E171" s="6" t="s">
        <v>359</v>
      </c>
      <c r="F171" s="6" t="s">
        <v>360</v>
      </c>
    </row>
    <row r="172" customFormat="false" ht="23.85" hidden="false" customHeight="false" outlineLevel="0" collapsed="false">
      <c r="A172" s="6" t="s">
        <v>694</v>
      </c>
      <c r="B172" s="6" t="s">
        <v>702</v>
      </c>
      <c r="C172" s="6" t="s">
        <v>696</v>
      </c>
      <c r="D172" s="7" t="s">
        <v>703</v>
      </c>
      <c r="E172" s="6" t="s">
        <v>359</v>
      </c>
      <c r="F172" s="6"/>
    </row>
    <row r="173" customFormat="false" ht="23.85" hidden="false" customHeight="false" outlineLevel="0" collapsed="false">
      <c r="A173" s="6" t="s">
        <v>694</v>
      </c>
      <c r="B173" s="6" t="s">
        <v>704</v>
      </c>
      <c r="C173" s="6" t="s">
        <v>696</v>
      </c>
      <c r="D173" s="7" t="s">
        <v>705</v>
      </c>
      <c r="E173" s="6" t="s">
        <v>706</v>
      </c>
      <c r="F173" s="6" t="s">
        <v>360</v>
      </c>
    </row>
    <row r="174" customFormat="false" ht="23.85" hidden="false" customHeight="false" outlineLevel="0" collapsed="false">
      <c r="A174" s="6" t="s">
        <v>694</v>
      </c>
      <c r="B174" s="6" t="s">
        <v>707</v>
      </c>
      <c r="C174" s="6" t="s">
        <v>696</v>
      </c>
      <c r="D174" s="7" t="s">
        <v>708</v>
      </c>
      <c r="E174" s="6" t="s">
        <v>359</v>
      </c>
      <c r="F174" s="6"/>
    </row>
    <row r="175" customFormat="false" ht="23.85" hidden="false" customHeight="false" outlineLevel="0" collapsed="false">
      <c r="A175" s="6" t="s">
        <v>694</v>
      </c>
      <c r="B175" s="6" t="s">
        <v>709</v>
      </c>
      <c r="C175" s="6" t="s">
        <v>696</v>
      </c>
      <c r="D175" s="7" t="s">
        <v>710</v>
      </c>
      <c r="E175" s="6" t="s">
        <v>359</v>
      </c>
      <c r="F175" s="6"/>
    </row>
    <row r="176" customFormat="false" ht="23.85" hidden="false" customHeight="false" outlineLevel="0" collapsed="false">
      <c r="A176" s="6" t="s">
        <v>694</v>
      </c>
      <c r="B176" s="6" t="s">
        <v>711</v>
      </c>
      <c r="C176" s="6" t="s">
        <v>696</v>
      </c>
      <c r="D176" s="7" t="s">
        <v>712</v>
      </c>
      <c r="E176" s="6" t="s">
        <v>359</v>
      </c>
      <c r="F176" s="6"/>
    </row>
    <row r="177" customFormat="false" ht="23.85" hidden="false" customHeight="false" outlineLevel="0" collapsed="false">
      <c r="A177" s="6" t="s">
        <v>694</v>
      </c>
      <c r="B177" s="6" t="s">
        <v>713</v>
      </c>
      <c r="C177" s="6" t="s">
        <v>714</v>
      </c>
      <c r="D177" s="7" t="s">
        <v>715</v>
      </c>
      <c r="E177" s="6" t="s">
        <v>359</v>
      </c>
      <c r="F177" s="6" t="s">
        <v>360</v>
      </c>
    </row>
    <row r="178" customFormat="false" ht="23.85" hidden="false" customHeight="false" outlineLevel="0" collapsed="false">
      <c r="A178" s="6" t="s">
        <v>694</v>
      </c>
      <c r="B178" s="6" t="s">
        <v>716</v>
      </c>
      <c r="C178" s="6" t="s">
        <v>696</v>
      </c>
      <c r="D178" s="7" t="s">
        <v>717</v>
      </c>
      <c r="E178" s="6" t="s">
        <v>359</v>
      </c>
      <c r="F178" s="6" t="s">
        <v>360</v>
      </c>
    </row>
    <row r="179" customFormat="false" ht="23.85" hidden="false" customHeight="false" outlineLevel="0" collapsed="false">
      <c r="A179" s="6" t="s">
        <v>694</v>
      </c>
      <c r="B179" s="6" t="s">
        <v>718</v>
      </c>
      <c r="C179" s="6" t="s">
        <v>696</v>
      </c>
      <c r="D179" s="7" t="s">
        <v>719</v>
      </c>
      <c r="E179" s="6" t="s">
        <v>720</v>
      </c>
      <c r="F179" s="6"/>
    </row>
    <row r="180" customFormat="false" ht="23.85" hidden="false" customHeight="false" outlineLevel="0" collapsed="false">
      <c r="A180" s="6" t="s">
        <v>694</v>
      </c>
      <c r="B180" s="6" t="s">
        <v>721</v>
      </c>
      <c r="C180" s="6" t="s">
        <v>696</v>
      </c>
      <c r="D180" s="7" t="s">
        <v>722</v>
      </c>
      <c r="E180" s="6" t="s">
        <v>359</v>
      </c>
      <c r="F180" s="6" t="s">
        <v>360</v>
      </c>
    </row>
    <row r="181" customFormat="false" ht="23.85" hidden="false" customHeight="false" outlineLevel="0" collapsed="false">
      <c r="A181" s="6" t="s">
        <v>694</v>
      </c>
      <c r="B181" s="6" t="s">
        <v>723</v>
      </c>
      <c r="C181" s="6" t="s">
        <v>696</v>
      </c>
      <c r="D181" s="7" t="s">
        <v>724</v>
      </c>
      <c r="E181" s="6" t="s">
        <v>356</v>
      </c>
      <c r="F181" s="6"/>
    </row>
    <row r="182" customFormat="false" ht="23.85" hidden="false" customHeight="false" outlineLevel="0" collapsed="false">
      <c r="A182" s="6" t="s">
        <v>694</v>
      </c>
      <c r="B182" s="6" t="s">
        <v>725</v>
      </c>
      <c r="C182" s="6" t="s">
        <v>714</v>
      </c>
      <c r="D182" s="7" t="s">
        <v>726</v>
      </c>
      <c r="E182" s="6" t="s">
        <v>359</v>
      </c>
      <c r="F182" s="6" t="s">
        <v>360</v>
      </c>
    </row>
    <row r="183" customFormat="false" ht="23.85" hidden="false" customHeight="false" outlineLevel="0" collapsed="false">
      <c r="A183" s="6" t="s">
        <v>694</v>
      </c>
      <c r="B183" s="6" t="s">
        <v>727</v>
      </c>
      <c r="C183" s="6" t="s">
        <v>714</v>
      </c>
      <c r="D183" s="7" t="s">
        <v>728</v>
      </c>
      <c r="E183" s="6" t="s">
        <v>356</v>
      </c>
      <c r="F183" s="6" t="s">
        <v>360</v>
      </c>
    </row>
    <row r="184" customFormat="false" ht="23.85" hidden="false" customHeight="false" outlineLevel="0" collapsed="false">
      <c r="A184" s="6" t="s">
        <v>694</v>
      </c>
      <c r="B184" s="6" t="s">
        <v>729</v>
      </c>
      <c r="C184" s="6" t="s">
        <v>696</v>
      </c>
      <c r="D184" s="7" t="s">
        <v>730</v>
      </c>
      <c r="E184" s="6" t="s">
        <v>537</v>
      </c>
      <c r="F184" s="6" t="s">
        <v>360</v>
      </c>
    </row>
    <row r="185" customFormat="false" ht="23.85" hidden="false" customHeight="false" outlineLevel="0" collapsed="false">
      <c r="A185" s="6" t="s">
        <v>694</v>
      </c>
      <c r="B185" s="6" t="s">
        <v>731</v>
      </c>
      <c r="C185" s="6" t="s">
        <v>714</v>
      </c>
      <c r="D185" s="7" t="s">
        <v>732</v>
      </c>
      <c r="E185" s="6" t="s">
        <v>359</v>
      </c>
      <c r="F185" s="6" t="s">
        <v>360</v>
      </c>
    </row>
    <row r="186" customFormat="false" ht="23.85" hidden="false" customHeight="false" outlineLevel="0" collapsed="false">
      <c r="A186" s="6" t="s">
        <v>694</v>
      </c>
      <c r="B186" s="6" t="s">
        <v>733</v>
      </c>
      <c r="C186" s="6" t="s">
        <v>696</v>
      </c>
      <c r="D186" s="7" t="s">
        <v>734</v>
      </c>
      <c r="E186" s="6" t="s">
        <v>359</v>
      </c>
      <c r="F186" s="6" t="s">
        <v>360</v>
      </c>
    </row>
    <row r="187" customFormat="false" ht="23.85" hidden="false" customHeight="false" outlineLevel="0" collapsed="false">
      <c r="A187" s="6" t="s">
        <v>694</v>
      </c>
      <c r="B187" s="6" t="s">
        <v>735</v>
      </c>
      <c r="C187" s="6" t="s">
        <v>714</v>
      </c>
      <c r="D187" s="7" t="s">
        <v>736</v>
      </c>
      <c r="E187" s="6" t="s">
        <v>356</v>
      </c>
      <c r="F187" s="6" t="s">
        <v>360</v>
      </c>
    </row>
    <row r="188" customFormat="false" ht="23.85" hidden="false" customHeight="false" outlineLevel="0" collapsed="false">
      <c r="A188" s="6" t="s">
        <v>694</v>
      </c>
      <c r="B188" s="6" t="s">
        <v>737</v>
      </c>
      <c r="C188" s="6" t="s">
        <v>696</v>
      </c>
      <c r="D188" s="7" t="s">
        <v>738</v>
      </c>
      <c r="E188" s="6" t="s">
        <v>356</v>
      </c>
      <c r="F188" s="6" t="s">
        <v>360</v>
      </c>
    </row>
    <row r="189" customFormat="false" ht="23.85" hidden="false" customHeight="false" outlineLevel="0" collapsed="false">
      <c r="A189" s="6" t="s">
        <v>694</v>
      </c>
      <c r="B189" s="6" t="s">
        <v>739</v>
      </c>
      <c r="C189" s="6" t="s">
        <v>696</v>
      </c>
      <c r="D189" s="7" t="s">
        <v>740</v>
      </c>
      <c r="E189" s="6" t="s">
        <v>369</v>
      </c>
      <c r="F189" s="6"/>
    </row>
    <row r="190" customFormat="false" ht="23.85" hidden="false" customHeight="false" outlineLevel="0" collapsed="false">
      <c r="A190" s="6" t="s">
        <v>694</v>
      </c>
      <c r="B190" s="6" t="s">
        <v>741</v>
      </c>
      <c r="C190" s="6" t="s">
        <v>696</v>
      </c>
      <c r="D190" s="7" t="s">
        <v>742</v>
      </c>
      <c r="E190" s="6" t="s">
        <v>359</v>
      </c>
      <c r="F190" s="6" t="s">
        <v>360</v>
      </c>
    </row>
    <row r="191" customFormat="false" ht="23.85" hidden="false" customHeight="false" outlineLevel="0" collapsed="false">
      <c r="A191" s="6" t="s">
        <v>694</v>
      </c>
      <c r="B191" s="6" t="s">
        <v>743</v>
      </c>
      <c r="C191" s="6" t="s">
        <v>696</v>
      </c>
      <c r="D191" s="7" t="s">
        <v>744</v>
      </c>
      <c r="E191" s="6" t="s">
        <v>359</v>
      </c>
      <c r="F191" s="6" t="s">
        <v>360</v>
      </c>
    </row>
    <row r="192" customFormat="false" ht="23.85" hidden="false" customHeight="false" outlineLevel="0" collapsed="false">
      <c r="A192" s="6" t="s">
        <v>694</v>
      </c>
      <c r="B192" s="6" t="s">
        <v>745</v>
      </c>
      <c r="C192" s="6" t="s">
        <v>696</v>
      </c>
      <c r="D192" s="7" t="s">
        <v>746</v>
      </c>
      <c r="E192" s="6" t="s">
        <v>359</v>
      </c>
      <c r="F192" s="6"/>
    </row>
    <row r="193" customFormat="false" ht="23.85" hidden="false" customHeight="false" outlineLevel="0" collapsed="false">
      <c r="A193" s="6" t="s">
        <v>694</v>
      </c>
      <c r="B193" s="6" t="s">
        <v>747</v>
      </c>
      <c r="C193" s="6" t="s">
        <v>696</v>
      </c>
      <c r="D193" s="7" t="s">
        <v>748</v>
      </c>
      <c r="E193" s="6" t="s">
        <v>359</v>
      </c>
      <c r="F193" s="6" t="s">
        <v>360</v>
      </c>
    </row>
    <row r="194" customFormat="false" ht="23.85" hidden="false" customHeight="false" outlineLevel="0" collapsed="false">
      <c r="A194" s="6" t="s">
        <v>694</v>
      </c>
      <c r="B194" s="6" t="s">
        <v>749</v>
      </c>
      <c r="C194" s="6" t="s">
        <v>750</v>
      </c>
      <c r="D194" s="7" t="s">
        <v>751</v>
      </c>
      <c r="E194" s="6" t="s">
        <v>359</v>
      </c>
      <c r="F194" s="6"/>
    </row>
    <row r="195" customFormat="false" ht="23.85" hidden="false" customHeight="false" outlineLevel="0" collapsed="false">
      <c r="A195" s="6" t="s">
        <v>694</v>
      </c>
      <c r="B195" s="6" t="s">
        <v>752</v>
      </c>
      <c r="C195" s="6" t="s">
        <v>696</v>
      </c>
      <c r="D195" s="7" t="s">
        <v>753</v>
      </c>
      <c r="E195" s="6" t="s">
        <v>359</v>
      </c>
      <c r="F195" s="6"/>
    </row>
    <row r="196" customFormat="false" ht="23.85" hidden="false" customHeight="false" outlineLevel="0" collapsed="false">
      <c r="A196" s="6" t="s">
        <v>694</v>
      </c>
      <c r="B196" s="6" t="s">
        <v>754</v>
      </c>
      <c r="C196" s="6" t="s">
        <v>696</v>
      </c>
      <c r="D196" s="7" t="s">
        <v>755</v>
      </c>
      <c r="E196" s="6" t="s">
        <v>359</v>
      </c>
      <c r="F196" s="6" t="s">
        <v>360</v>
      </c>
    </row>
    <row r="197" customFormat="false" ht="23.85" hidden="false" customHeight="false" outlineLevel="0" collapsed="false">
      <c r="A197" s="6" t="s">
        <v>694</v>
      </c>
      <c r="B197" s="6" t="s">
        <v>756</v>
      </c>
      <c r="C197" s="6" t="s">
        <v>696</v>
      </c>
      <c r="D197" s="7" t="s">
        <v>757</v>
      </c>
      <c r="E197" s="6" t="s">
        <v>359</v>
      </c>
      <c r="F197" s="6"/>
    </row>
    <row r="198" customFormat="false" ht="23.85" hidden="false" customHeight="false" outlineLevel="0" collapsed="false">
      <c r="A198" s="6" t="s">
        <v>694</v>
      </c>
      <c r="B198" s="6" t="s">
        <v>758</v>
      </c>
      <c r="C198" s="6" t="s">
        <v>696</v>
      </c>
      <c r="D198" s="7" t="s">
        <v>759</v>
      </c>
      <c r="E198" s="6" t="s">
        <v>369</v>
      </c>
      <c r="F198" s="6" t="s">
        <v>360</v>
      </c>
    </row>
    <row r="199" customFormat="false" ht="23.85" hidden="false" customHeight="false" outlineLevel="0" collapsed="false">
      <c r="A199" s="6" t="s">
        <v>694</v>
      </c>
      <c r="B199" s="6" t="s">
        <v>760</v>
      </c>
      <c r="C199" s="6" t="s">
        <v>696</v>
      </c>
      <c r="D199" s="7" t="s">
        <v>761</v>
      </c>
      <c r="E199" s="6" t="s">
        <v>369</v>
      </c>
      <c r="F199" s="6"/>
    </row>
    <row r="200" customFormat="false" ht="23.85" hidden="false" customHeight="false" outlineLevel="0" collapsed="false">
      <c r="A200" s="6" t="s">
        <v>694</v>
      </c>
      <c r="B200" s="6" t="s">
        <v>762</v>
      </c>
      <c r="C200" s="6" t="s">
        <v>696</v>
      </c>
      <c r="D200" s="7" t="s">
        <v>763</v>
      </c>
      <c r="E200" s="6" t="s">
        <v>359</v>
      </c>
      <c r="F200" s="6"/>
    </row>
    <row r="201" customFormat="false" ht="23.85" hidden="false" customHeight="false" outlineLevel="0" collapsed="false">
      <c r="A201" s="6" t="s">
        <v>694</v>
      </c>
      <c r="B201" s="6" t="s">
        <v>764</v>
      </c>
      <c r="C201" s="6" t="s">
        <v>696</v>
      </c>
      <c r="D201" s="7" t="s">
        <v>765</v>
      </c>
      <c r="E201" s="6" t="s">
        <v>359</v>
      </c>
      <c r="F201" s="6"/>
    </row>
    <row r="202" customFormat="false" ht="23.85" hidden="false" customHeight="false" outlineLevel="0" collapsed="false">
      <c r="A202" s="6" t="s">
        <v>694</v>
      </c>
      <c r="B202" s="6" t="s">
        <v>766</v>
      </c>
      <c r="C202" s="6" t="s">
        <v>696</v>
      </c>
      <c r="D202" s="7" t="s">
        <v>767</v>
      </c>
      <c r="E202" s="6" t="s">
        <v>359</v>
      </c>
      <c r="F202" s="6" t="s">
        <v>360</v>
      </c>
    </row>
    <row r="203" customFormat="false" ht="23.85" hidden="false" customHeight="false" outlineLevel="0" collapsed="false">
      <c r="A203" s="6" t="s">
        <v>694</v>
      </c>
      <c r="B203" s="6" t="s">
        <v>768</v>
      </c>
      <c r="C203" s="6" t="s">
        <v>696</v>
      </c>
      <c r="D203" s="7" t="s">
        <v>769</v>
      </c>
      <c r="E203" s="6" t="s">
        <v>359</v>
      </c>
      <c r="F203" s="6" t="s">
        <v>360</v>
      </c>
    </row>
    <row r="204" customFormat="false" ht="23.85" hidden="false" customHeight="false" outlineLevel="0" collapsed="false">
      <c r="A204" s="6" t="s">
        <v>694</v>
      </c>
      <c r="B204" s="6" t="s">
        <v>770</v>
      </c>
      <c r="C204" s="6" t="s">
        <v>771</v>
      </c>
      <c r="D204" s="7" t="s">
        <v>772</v>
      </c>
      <c r="E204" s="6" t="s">
        <v>359</v>
      </c>
      <c r="F204" s="6" t="s">
        <v>360</v>
      </c>
    </row>
    <row r="205" customFormat="false" ht="23.85" hidden="false" customHeight="false" outlineLevel="0" collapsed="false">
      <c r="A205" s="6" t="s">
        <v>694</v>
      </c>
      <c r="B205" s="6" t="s">
        <v>773</v>
      </c>
      <c r="C205" s="6" t="s">
        <v>696</v>
      </c>
      <c r="D205" s="7" t="s">
        <v>774</v>
      </c>
      <c r="E205" s="6" t="s">
        <v>359</v>
      </c>
      <c r="F205" s="6" t="s">
        <v>360</v>
      </c>
    </row>
    <row r="206" customFormat="false" ht="23.85" hidden="false" customHeight="false" outlineLevel="0" collapsed="false">
      <c r="A206" s="6" t="s">
        <v>694</v>
      </c>
      <c r="B206" s="6" t="s">
        <v>775</v>
      </c>
      <c r="C206" s="6" t="s">
        <v>696</v>
      </c>
      <c r="D206" s="7" t="s">
        <v>776</v>
      </c>
      <c r="E206" s="6" t="s">
        <v>359</v>
      </c>
      <c r="F206" s="6" t="s">
        <v>360</v>
      </c>
    </row>
    <row r="207" customFormat="false" ht="23.85" hidden="false" customHeight="false" outlineLevel="0" collapsed="false">
      <c r="A207" s="6" t="s">
        <v>694</v>
      </c>
      <c r="B207" s="6" t="s">
        <v>777</v>
      </c>
      <c r="C207" s="6" t="s">
        <v>696</v>
      </c>
      <c r="D207" s="7" t="s">
        <v>778</v>
      </c>
      <c r="E207" s="6" t="s">
        <v>359</v>
      </c>
      <c r="F207" s="6" t="s">
        <v>360</v>
      </c>
    </row>
    <row r="208" customFormat="false" ht="23.85" hidden="false" customHeight="false" outlineLevel="0" collapsed="false">
      <c r="A208" s="6" t="s">
        <v>694</v>
      </c>
      <c r="B208" s="6" t="s">
        <v>779</v>
      </c>
      <c r="C208" s="6" t="s">
        <v>696</v>
      </c>
      <c r="D208" s="7" t="s">
        <v>780</v>
      </c>
      <c r="E208" s="6" t="s">
        <v>359</v>
      </c>
      <c r="F208" s="6"/>
    </row>
    <row r="209" customFormat="false" ht="23.85" hidden="false" customHeight="false" outlineLevel="0" collapsed="false">
      <c r="A209" s="6" t="s">
        <v>694</v>
      </c>
      <c r="B209" s="6" t="s">
        <v>781</v>
      </c>
      <c r="C209" s="6" t="s">
        <v>696</v>
      </c>
      <c r="D209" s="7" t="s">
        <v>782</v>
      </c>
      <c r="E209" s="6" t="s">
        <v>359</v>
      </c>
      <c r="F209" s="6" t="s">
        <v>360</v>
      </c>
    </row>
    <row r="210" customFormat="false" ht="23.85" hidden="false" customHeight="false" outlineLevel="0" collapsed="false">
      <c r="A210" s="6" t="s">
        <v>694</v>
      </c>
      <c r="B210" s="6" t="s">
        <v>783</v>
      </c>
      <c r="C210" s="6" t="s">
        <v>696</v>
      </c>
      <c r="D210" s="7" t="s">
        <v>784</v>
      </c>
      <c r="E210" s="6" t="s">
        <v>359</v>
      </c>
      <c r="F210" s="6" t="s">
        <v>360</v>
      </c>
    </row>
    <row r="211" customFormat="false" ht="23.85" hidden="false" customHeight="false" outlineLevel="0" collapsed="false">
      <c r="A211" s="6" t="s">
        <v>694</v>
      </c>
      <c r="B211" s="6" t="s">
        <v>785</v>
      </c>
      <c r="C211" s="6" t="s">
        <v>696</v>
      </c>
      <c r="D211" s="7" t="s">
        <v>786</v>
      </c>
      <c r="E211" s="6" t="s">
        <v>787</v>
      </c>
      <c r="F211" s="6" t="s">
        <v>360</v>
      </c>
    </row>
    <row r="212" customFormat="false" ht="23.85" hidden="false" customHeight="false" outlineLevel="0" collapsed="false">
      <c r="A212" s="6" t="s">
        <v>694</v>
      </c>
      <c r="B212" s="6" t="s">
        <v>788</v>
      </c>
      <c r="C212" s="6" t="s">
        <v>696</v>
      </c>
      <c r="D212" s="7" t="s">
        <v>789</v>
      </c>
      <c r="E212" s="6" t="s">
        <v>359</v>
      </c>
      <c r="F212" s="6" t="s">
        <v>360</v>
      </c>
    </row>
    <row r="213" customFormat="false" ht="23.85" hidden="false" customHeight="false" outlineLevel="0" collapsed="false">
      <c r="A213" s="6" t="s">
        <v>694</v>
      </c>
      <c r="B213" s="6" t="s">
        <v>790</v>
      </c>
      <c r="C213" s="6" t="s">
        <v>696</v>
      </c>
      <c r="D213" s="7" t="s">
        <v>791</v>
      </c>
      <c r="E213" s="6" t="s">
        <v>359</v>
      </c>
      <c r="F213" s="6" t="s">
        <v>360</v>
      </c>
    </row>
    <row r="214" customFormat="false" ht="23.85" hidden="false" customHeight="false" outlineLevel="0" collapsed="false">
      <c r="A214" s="6" t="s">
        <v>694</v>
      </c>
      <c r="B214" s="6" t="s">
        <v>792</v>
      </c>
      <c r="C214" s="6" t="s">
        <v>696</v>
      </c>
      <c r="D214" s="7" t="s">
        <v>793</v>
      </c>
      <c r="E214" s="6" t="s">
        <v>359</v>
      </c>
      <c r="F214" s="6" t="s">
        <v>360</v>
      </c>
    </row>
    <row r="215" customFormat="false" ht="23.85" hidden="false" customHeight="false" outlineLevel="0" collapsed="false">
      <c r="A215" s="6" t="s">
        <v>694</v>
      </c>
      <c r="B215" s="6" t="s">
        <v>794</v>
      </c>
      <c r="C215" s="6" t="s">
        <v>696</v>
      </c>
      <c r="D215" s="7" t="s">
        <v>795</v>
      </c>
      <c r="E215" s="6" t="s">
        <v>359</v>
      </c>
      <c r="F215" s="6" t="s">
        <v>360</v>
      </c>
    </row>
    <row r="216" customFormat="false" ht="23.85" hidden="false" customHeight="false" outlineLevel="0" collapsed="false">
      <c r="A216" s="6" t="s">
        <v>694</v>
      </c>
      <c r="B216" s="6" t="s">
        <v>796</v>
      </c>
      <c r="C216" s="6" t="s">
        <v>797</v>
      </c>
      <c r="D216" s="7" t="s">
        <v>798</v>
      </c>
      <c r="E216" s="6" t="s">
        <v>503</v>
      </c>
      <c r="F216" s="6"/>
    </row>
    <row r="217" customFormat="false" ht="23.85" hidden="false" customHeight="false" outlineLevel="0" collapsed="false">
      <c r="A217" s="6" t="s">
        <v>694</v>
      </c>
      <c r="B217" s="6" t="s">
        <v>799</v>
      </c>
      <c r="C217" s="6" t="s">
        <v>696</v>
      </c>
      <c r="D217" s="7" t="s">
        <v>800</v>
      </c>
      <c r="E217" s="6" t="s">
        <v>359</v>
      </c>
      <c r="F217" s="6" t="s">
        <v>360</v>
      </c>
    </row>
    <row r="218" customFormat="false" ht="23.85" hidden="false" customHeight="false" outlineLevel="0" collapsed="false">
      <c r="A218" s="6" t="s">
        <v>694</v>
      </c>
      <c r="B218" s="6" t="s">
        <v>801</v>
      </c>
      <c r="C218" s="6" t="s">
        <v>696</v>
      </c>
      <c r="D218" s="7" t="s">
        <v>802</v>
      </c>
      <c r="E218" s="6" t="s">
        <v>356</v>
      </c>
      <c r="F218" s="6" t="s">
        <v>360</v>
      </c>
    </row>
    <row r="219" customFormat="false" ht="23.85" hidden="false" customHeight="false" outlineLevel="0" collapsed="false">
      <c r="A219" s="6" t="s">
        <v>694</v>
      </c>
      <c r="B219" s="6" t="s">
        <v>803</v>
      </c>
      <c r="C219" s="6" t="s">
        <v>696</v>
      </c>
      <c r="D219" s="7" t="s">
        <v>804</v>
      </c>
      <c r="E219" s="6" t="s">
        <v>421</v>
      </c>
      <c r="F219" s="6"/>
    </row>
    <row r="220" customFormat="false" ht="23.85" hidden="false" customHeight="false" outlineLevel="0" collapsed="false">
      <c r="A220" s="6" t="s">
        <v>694</v>
      </c>
      <c r="B220" s="6" t="s">
        <v>805</v>
      </c>
      <c r="C220" s="6" t="s">
        <v>797</v>
      </c>
      <c r="D220" s="7" t="s">
        <v>806</v>
      </c>
      <c r="E220" s="6" t="s">
        <v>421</v>
      </c>
      <c r="F220" s="6"/>
    </row>
    <row r="221" customFormat="false" ht="23.85" hidden="false" customHeight="false" outlineLevel="0" collapsed="false">
      <c r="A221" s="6" t="s">
        <v>694</v>
      </c>
      <c r="B221" s="6" t="s">
        <v>807</v>
      </c>
      <c r="C221" s="6" t="s">
        <v>750</v>
      </c>
      <c r="D221" s="7" t="s">
        <v>808</v>
      </c>
      <c r="E221" s="6" t="s">
        <v>359</v>
      </c>
      <c r="F221" s="6"/>
    </row>
    <row r="222" customFormat="false" ht="23.85" hidden="false" customHeight="false" outlineLevel="0" collapsed="false">
      <c r="A222" s="6" t="s">
        <v>694</v>
      </c>
      <c r="B222" s="6" t="s">
        <v>809</v>
      </c>
      <c r="C222" s="6" t="s">
        <v>810</v>
      </c>
      <c r="D222" s="7" t="s">
        <v>811</v>
      </c>
      <c r="E222" s="6" t="s">
        <v>359</v>
      </c>
      <c r="F222" s="6"/>
    </row>
    <row r="223" customFormat="false" ht="23.85" hidden="false" customHeight="false" outlineLevel="0" collapsed="false">
      <c r="A223" s="6" t="s">
        <v>694</v>
      </c>
      <c r="B223" s="6" t="s">
        <v>812</v>
      </c>
      <c r="C223" s="6" t="s">
        <v>810</v>
      </c>
      <c r="D223" s="7" t="s">
        <v>813</v>
      </c>
      <c r="E223" s="6" t="s">
        <v>503</v>
      </c>
      <c r="F223" s="6"/>
    </row>
    <row r="224" customFormat="false" ht="23.85" hidden="false" customHeight="false" outlineLevel="0" collapsed="false">
      <c r="A224" s="6" t="s">
        <v>694</v>
      </c>
      <c r="B224" s="6" t="s">
        <v>814</v>
      </c>
      <c r="C224" s="6" t="s">
        <v>810</v>
      </c>
      <c r="D224" s="7" t="s">
        <v>815</v>
      </c>
      <c r="E224" s="6" t="s">
        <v>421</v>
      </c>
      <c r="F224" s="6"/>
    </row>
    <row r="225" customFormat="false" ht="23.85" hidden="false" customHeight="false" outlineLevel="0" collapsed="false">
      <c r="A225" s="6" t="s">
        <v>694</v>
      </c>
      <c r="B225" s="6" t="s">
        <v>816</v>
      </c>
      <c r="C225" s="6" t="s">
        <v>696</v>
      </c>
      <c r="D225" s="7" t="s">
        <v>817</v>
      </c>
      <c r="E225" s="6" t="s">
        <v>359</v>
      </c>
      <c r="F225" s="6" t="s">
        <v>360</v>
      </c>
    </row>
    <row r="226" customFormat="false" ht="23.85" hidden="false" customHeight="false" outlineLevel="0" collapsed="false">
      <c r="A226" s="6" t="s">
        <v>694</v>
      </c>
      <c r="B226" s="6" t="s">
        <v>818</v>
      </c>
      <c r="C226" s="6" t="s">
        <v>696</v>
      </c>
      <c r="D226" s="7" t="s">
        <v>819</v>
      </c>
      <c r="E226" s="6" t="s">
        <v>537</v>
      </c>
      <c r="F226" s="6"/>
    </row>
    <row r="227" customFormat="false" ht="23.85" hidden="false" customHeight="false" outlineLevel="0" collapsed="false">
      <c r="A227" s="6" t="s">
        <v>694</v>
      </c>
      <c r="B227" s="6" t="s">
        <v>820</v>
      </c>
      <c r="C227" s="6" t="s">
        <v>696</v>
      </c>
      <c r="D227" s="7" t="s">
        <v>821</v>
      </c>
      <c r="E227" s="6" t="s">
        <v>359</v>
      </c>
      <c r="F227" s="6" t="s">
        <v>360</v>
      </c>
    </row>
    <row r="228" customFormat="false" ht="23.85" hidden="false" customHeight="false" outlineLevel="0" collapsed="false">
      <c r="A228" s="6" t="s">
        <v>694</v>
      </c>
      <c r="B228" s="6" t="s">
        <v>822</v>
      </c>
      <c r="C228" s="6" t="s">
        <v>696</v>
      </c>
      <c r="D228" s="7" t="s">
        <v>823</v>
      </c>
      <c r="E228" s="6" t="s">
        <v>359</v>
      </c>
      <c r="F228" s="6" t="s">
        <v>360</v>
      </c>
    </row>
    <row r="229" customFormat="false" ht="23.85" hidden="false" customHeight="false" outlineLevel="0" collapsed="false">
      <c r="A229" s="6" t="s">
        <v>694</v>
      </c>
      <c r="B229" s="6" t="s">
        <v>824</v>
      </c>
      <c r="C229" s="6" t="s">
        <v>696</v>
      </c>
      <c r="D229" s="7" t="s">
        <v>825</v>
      </c>
      <c r="E229" s="6" t="s">
        <v>359</v>
      </c>
      <c r="F229" s="6" t="s">
        <v>360</v>
      </c>
    </row>
    <row r="230" customFormat="false" ht="23.85" hidden="false" customHeight="false" outlineLevel="0" collapsed="false">
      <c r="A230" s="6" t="s">
        <v>694</v>
      </c>
      <c r="B230" s="6" t="s">
        <v>826</v>
      </c>
      <c r="C230" s="6" t="s">
        <v>696</v>
      </c>
      <c r="D230" s="7" t="s">
        <v>827</v>
      </c>
      <c r="E230" s="6" t="s">
        <v>359</v>
      </c>
      <c r="F230" s="6" t="s">
        <v>360</v>
      </c>
    </row>
    <row r="231" customFormat="false" ht="23.85" hidden="false" customHeight="false" outlineLevel="0" collapsed="false">
      <c r="A231" s="6" t="s">
        <v>694</v>
      </c>
      <c r="B231" s="6" t="s">
        <v>828</v>
      </c>
      <c r="C231" s="6" t="s">
        <v>696</v>
      </c>
      <c r="D231" s="7" t="s">
        <v>829</v>
      </c>
      <c r="E231" s="6" t="s">
        <v>359</v>
      </c>
      <c r="F231" s="6"/>
    </row>
    <row r="232" customFormat="false" ht="23.85" hidden="false" customHeight="false" outlineLevel="0" collapsed="false">
      <c r="A232" s="6" t="s">
        <v>694</v>
      </c>
      <c r="B232" s="6" t="s">
        <v>830</v>
      </c>
      <c r="C232" s="6" t="s">
        <v>696</v>
      </c>
      <c r="D232" s="7" t="s">
        <v>831</v>
      </c>
      <c r="E232" s="6" t="s">
        <v>359</v>
      </c>
      <c r="F232" s="6" t="s">
        <v>360</v>
      </c>
    </row>
    <row r="233" customFormat="false" ht="23.85" hidden="false" customHeight="false" outlineLevel="0" collapsed="false">
      <c r="A233" s="6" t="s">
        <v>694</v>
      </c>
      <c r="B233" s="6" t="s">
        <v>832</v>
      </c>
      <c r="C233" s="6" t="s">
        <v>696</v>
      </c>
      <c r="D233" s="7" t="s">
        <v>833</v>
      </c>
      <c r="E233" s="6" t="s">
        <v>359</v>
      </c>
      <c r="F233" s="6" t="s">
        <v>360</v>
      </c>
    </row>
    <row r="234" customFormat="false" ht="23.85" hidden="false" customHeight="false" outlineLevel="0" collapsed="false">
      <c r="A234" s="6" t="s">
        <v>694</v>
      </c>
      <c r="B234" s="6" t="s">
        <v>834</v>
      </c>
      <c r="C234" s="6" t="s">
        <v>696</v>
      </c>
      <c r="D234" s="7" t="s">
        <v>835</v>
      </c>
      <c r="E234" s="6" t="s">
        <v>359</v>
      </c>
      <c r="F234" s="6"/>
    </row>
    <row r="235" customFormat="false" ht="23.85" hidden="false" customHeight="false" outlineLevel="0" collapsed="false">
      <c r="A235" s="6" t="s">
        <v>694</v>
      </c>
      <c r="B235" s="6" t="s">
        <v>836</v>
      </c>
      <c r="C235" s="6" t="s">
        <v>696</v>
      </c>
      <c r="D235" s="7" t="s">
        <v>837</v>
      </c>
      <c r="E235" s="6" t="s">
        <v>359</v>
      </c>
      <c r="F235" s="6" t="s">
        <v>360</v>
      </c>
    </row>
    <row r="236" customFormat="false" ht="23.85" hidden="false" customHeight="false" outlineLevel="0" collapsed="false">
      <c r="A236" s="6" t="s">
        <v>694</v>
      </c>
      <c r="B236" s="6" t="s">
        <v>838</v>
      </c>
      <c r="C236" s="6" t="s">
        <v>696</v>
      </c>
      <c r="D236" s="7" t="s">
        <v>839</v>
      </c>
      <c r="E236" s="6" t="s">
        <v>359</v>
      </c>
      <c r="F236" s="6"/>
    </row>
    <row r="237" customFormat="false" ht="23.85" hidden="false" customHeight="false" outlineLevel="0" collapsed="false">
      <c r="A237" s="6" t="s">
        <v>694</v>
      </c>
      <c r="B237" s="6" t="s">
        <v>840</v>
      </c>
      <c r="C237" s="6" t="s">
        <v>696</v>
      </c>
      <c r="D237" s="7" t="s">
        <v>841</v>
      </c>
      <c r="E237" s="6" t="s">
        <v>359</v>
      </c>
      <c r="F237" s="6" t="s">
        <v>360</v>
      </c>
    </row>
    <row r="238" customFormat="false" ht="23.85" hidden="false" customHeight="false" outlineLevel="0" collapsed="false">
      <c r="A238" s="6" t="s">
        <v>694</v>
      </c>
      <c r="B238" s="6" t="s">
        <v>842</v>
      </c>
      <c r="C238" s="6" t="s">
        <v>797</v>
      </c>
      <c r="D238" s="7" t="s">
        <v>843</v>
      </c>
      <c r="E238" s="6" t="s">
        <v>356</v>
      </c>
      <c r="F238" s="6" t="s">
        <v>360</v>
      </c>
    </row>
    <row r="239" customFormat="false" ht="23.85" hidden="false" customHeight="false" outlineLevel="0" collapsed="false">
      <c r="A239" s="6" t="s">
        <v>694</v>
      </c>
      <c r="B239" s="6" t="s">
        <v>844</v>
      </c>
      <c r="C239" s="6" t="s">
        <v>696</v>
      </c>
      <c r="D239" s="7" t="s">
        <v>845</v>
      </c>
      <c r="E239" s="6" t="s">
        <v>613</v>
      </c>
      <c r="F239" s="6" t="s">
        <v>360</v>
      </c>
    </row>
    <row r="240" customFormat="false" ht="23.85" hidden="false" customHeight="false" outlineLevel="0" collapsed="false">
      <c r="A240" s="6" t="s">
        <v>694</v>
      </c>
      <c r="B240" s="6" t="s">
        <v>846</v>
      </c>
      <c r="C240" s="6" t="s">
        <v>696</v>
      </c>
      <c r="D240" s="7" t="s">
        <v>847</v>
      </c>
      <c r="E240" s="6" t="s">
        <v>359</v>
      </c>
      <c r="F240" s="6" t="s">
        <v>360</v>
      </c>
    </row>
    <row r="241" customFormat="false" ht="23.85" hidden="false" customHeight="false" outlineLevel="0" collapsed="false">
      <c r="A241" s="6" t="s">
        <v>694</v>
      </c>
      <c r="B241" s="6" t="s">
        <v>848</v>
      </c>
      <c r="C241" s="6" t="s">
        <v>696</v>
      </c>
      <c r="D241" s="7" t="s">
        <v>849</v>
      </c>
      <c r="E241" s="6" t="s">
        <v>359</v>
      </c>
      <c r="F241" s="6" t="s">
        <v>360</v>
      </c>
    </row>
    <row r="242" customFormat="false" ht="23.85" hidden="false" customHeight="false" outlineLevel="0" collapsed="false">
      <c r="A242" s="6" t="s">
        <v>694</v>
      </c>
      <c r="B242" s="6" t="s">
        <v>850</v>
      </c>
      <c r="C242" s="6" t="s">
        <v>696</v>
      </c>
      <c r="D242" s="7" t="s">
        <v>851</v>
      </c>
      <c r="E242" s="6" t="s">
        <v>356</v>
      </c>
      <c r="F242" s="6" t="s">
        <v>360</v>
      </c>
    </row>
    <row r="243" customFormat="false" ht="23.85" hidden="false" customHeight="false" outlineLevel="0" collapsed="false">
      <c r="A243" s="6" t="s">
        <v>694</v>
      </c>
      <c r="B243" s="6" t="s">
        <v>852</v>
      </c>
      <c r="C243" s="6" t="s">
        <v>696</v>
      </c>
      <c r="D243" s="7" t="s">
        <v>853</v>
      </c>
      <c r="E243" s="6" t="s">
        <v>359</v>
      </c>
      <c r="F243" s="6"/>
    </row>
    <row r="244" customFormat="false" ht="23.85" hidden="false" customHeight="false" outlineLevel="0" collapsed="false">
      <c r="A244" s="6" t="s">
        <v>694</v>
      </c>
      <c r="B244" s="6" t="s">
        <v>854</v>
      </c>
      <c r="C244" s="6" t="s">
        <v>696</v>
      </c>
      <c r="D244" s="7" t="s">
        <v>855</v>
      </c>
      <c r="E244" s="6" t="s">
        <v>503</v>
      </c>
      <c r="F244" s="6"/>
    </row>
    <row r="245" customFormat="false" ht="23.85" hidden="false" customHeight="false" outlineLevel="0" collapsed="false">
      <c r="A245" s="6" t="s">
        <v>694</v>
      </c>
      <c r="B245" s="6" t="s">
        <v>856</v>
      </c>
      <c r="C245" s="6" t="s">
        <v>696</v>
      </c>
      <c r="D245" s="7" t="s">
        <v>857</v>
      </c>
      <c r="E245" s="6" t="s">
        <v>359</v>
      </c>
      <c r="F245" s="6" t="s">
        <v>360</v>
      </c>
    </row>
    <row r="246" customFormat="false" ht="23.85" hidden="false" customHeight="false" outlineLevel="0" collapsed="false">
      <c r="A246" s="6" t="s">
        <v>694</v>
      </c>
      <c r="B246" s="6" t="s">
        <v>858</v>
      </c>
      <c r="C246" s="6" t="s">
        <v>696</v>
      </c>
      <c r="D246" s="7" t="s">
        <v>859</v>
      </c>
      <c r="E246" s="6" t="s">
        <v>503</v>
      </c>
      <c r="F246" s="6" t="s">
        <v>360</v>
      </c>
    </row>
    <row r="247" customFormat="false" ht="23.85" hidden="false" customHeight="false" outlineLevel="0" collapsed="false">
      <c r="A247" s="6" t="s">
        <v>694</v>
      </c>
      <c r="B247" s="6" t="s">
        <v>860</v>
      </c>
      <c r="C247" s="6" t="s">
        <v>696</v>
      </c>
      <c r="D247" s="7" t="s">
        <v>861</v>
      </c>
      <c r="E247" s="6" t="s">
        <v>359</v>
      </c>
      <c r="F247" s="6" t="s">
        <v>360</v>
      </c>
    </row>
    <row r="248" customFormat="false" ht="23.85" hidden="false" customHeight="false" outlineLevel="0" collapsed="false">
      <c r="A248" s="6" t="s">
        <v>694</v>
      </c>
      <c r="B248" s="6" t="s">
        <v>862</v>
      </c>
      <c r="C248" s="6" t="s">
        <v>696</v>
      </c>
      <c r="D248" s="7" t="s">
        <v>863</v>
      </c>
      <c r="E248" s="6" t="s">
        <v>691</v>
      </c>
      <c r="F248" s="6"/>
    </row>
    <row r="249" customFormat="false" ht="23.85" hidden="false" customHeight="false" outlineLevel="0" collapsed="false">
      <c r="A249" s="6" t="s">
        <v>694</v>
      </c>
      <c r="B249" s="6" t="s">
        <v>864</v>
      </c>
      <c r="C249" s="6" t="s">
        <v>696</v>
      </c>
      <c r="D249" s="7" t="s">
        <v>865</v>
      </c>
      <c r="E249" s="6" t="s">
        <v>359</v>
      </c>
      <c r="F249" s="6" t="s">
        <v>360</v>
      </c>
    </row>
    <row r="250" customFormat="false" ht="23.85" hidden="false" customHeight="false" outlineLevel="0" collapsed="false">
      <c r="A250" s="6" t="s">
        <v>694</v>
      </c>
      <c r="B250" s="6" t="s">
        <v>866</v>
      </c>
      <c r="C250" s="6" t="s">
        <v>696</v>
      </c>
      <c r="D250" s="7" t="s">
        <v>867</v>
      </c>
      <c r="E250" s="6" t="s">
        <v>359</v>
      </c>
      <c r="F250" s="6" t="s">
        <v>360</v>
      </c>
    </row>
    <row r="251" customFormat="false" ht="23.85" hidden="false" customHeight="false" outlineLevel="0" collapsed="false">
      <c r="A251" s="6" t="s">
        <v>694</v>
      </c>
      <c r="B251" s="6" t="s">
        <v>868</v>
      </c>
      <c r="C251" s="6" t="s">
        <v>696</v>
      </c>
      <c r="D251" s="7" t="s">
        <v>869</v>
      </c>
      <c r="E251" s="6" t="s">
        <v>359</v>
      </c>
      <c r="F251" s="6" t="s">
        <v>360</v>
      </c>
    </row>
    <row r="252" customFormat="false" ht="23.85" hidden="false" customHeight="false" outlineLevel="0" collapsed="false">
      <c r="A252" s="6" t="s">
        <v>694</v>
      </c>
      <c r="B252" s="6" t="s">
        <v>870</v>
      </c>
      <c r="C252" s="6" t="s">
        <v>696</v>
      </c>
      <c r="D252" s="7" t="s">
        <v>871</v>
      </c>
      <c r="E252" s="6" t="s">
        <v>359</v>
      </c>
      <c r="F252" s="6" t="s">
        <v>360</v>
      </c>
    </row>
    <row r="253" customFormat="false" ht="23.85" hidden="false" customHeight="false" outlineLevel="0" collapsed="false">
      <c r="A253" s="6" t="s">
        <v>694</v>
      </c>
      <c r="B253" s="6" t="s">
        <v>872</v>
      </c>
      <c r="C253" s="6" t="s">
        <v>696</v>
      </c>
      <c r="D253" s="7" t="s">
        <v>873</v>
      </c>
      <c r="E253" s="6" t="s">
        <v>359</v>
      </c>
      <c r="F253" s="6" t="s">
        <v>360</v>
      </c>
    </row>
    <row r="254" customFormat="false" ht="23.85" hidden="false" customHeight="false" outlineLevel="0" collapsed="false">
      <c r="A254" s="6" t="s">
        <v>694</v>
      </c>
      <c r="B254" s="6" t="s">
        <v>874</v>
      </c>
      <c r="C254" s="6" t="s">
        <v>696</v>
      </c>
      <c r="D254" s="7" t="s">
        <v>875</v>
      </c>
      <c r="E254" s="6" t="s">
        <v>359</v>
      </c>
      <c r="F254" s="6"/>
    </row>
    <row r="255" customFormat="false" ht="23.85" hidden="false" customHeight="false" outlineLevel="0" collapsed="false">
      <c r="A255" s="6" t="s">
        <v>694</v>
      </c>
      <c r="B255" s="6" t="s">
        <v>876</v>
      </c>
      <c r="C255" s="6" t="s">
        <v>696</v>
      </c>
      <c r="D255" s="7" t="s">
        <v>877</v>
      </c>
      <c r="E255" s="6" t="s">
        <v>359</v>
      </c>
      <c r="F255" s="6"/>
    </row>
    <row r="256" customFormat="false" ht="23.85" hidden="false" customHeight="false" outlineLevel="0" collapsed="false">
      <c r="A256" s="6" t="s">
        <v>694</v>
      </c>
      <c r="B256" s="6" t="s">
        <v>878</v>
      </c>
      <c r="C256" s="6" t="s">
        <v>696</v>
      </c>
      <c r="D256" s="7" t="s">
        <v>879</v>
      </c>
      <c r="E256" s="6" t="s">
        <v>356</v>
      </c>
      <c r="F256" s="6" t="s">
        <v>360</v>
      </c>
    </row>
    <row r="257" customFormat="false" ht="23.85" hidden="false" customHeight="false" outlineLevel="0" collapsed="false">
      <c r="A257" s="6" t="s">
        <v>694</v>
      </c>
      <c r="B257" s="6" t="s">
        <v>880</v>
      </c>
      <c r="C257" s="6" t="s">
        <v>696</v>
      </c>
      <c r="D257" s="7" t="s">
        <v>881</v>
      </c>
      <c r="E257" s="6" t="s">
        <v>359</v>
      </c>
      <c r="F257" s="6" t="s">
        <v>360</v>
      </c>
    </row>
    <row r="258" customFormat="false" ht="23.85" hidden="false" customHeight="false" outlineLevel="0" collapsed="false">
      <c r="A258" s="6" t="s">
        <v>694</v>
      </c>
      <c r="B258" s="6" t="s">
        <v>882</v>
      </c>
      <c r="C258" s="6" t="s">
        <v>696</v>
      </c>
      <c r="D258" s="7" t="s">
        <v>883</v>
      </c>
      <c r="E258" s="6" t="s">
        <v>359</v>
      </c>
      <c r="F258" s="6" t="s">
        <v>360</v>
      </c>
    </row>
    <row r="259" customFormat="false" ht="23.85" hidden="false" customHeight="false" outlineLevel="0" collapsed="false">
      <c r="A259" s="6" t="s">
        <v>694</v>
      </c>
      <c r="B259" s="6" t="s">
        <v>884</v>
      </c>
      <c r="C259" s="6" t="s">
        <v>696</v>
      </c>
      <c r="D259" s="7" t="s">
        <v>885</v>
      </c>
      <c r="E259" s="6" t="s">
        <v>359</v>
      </c>
      <c r="F259" s="6" t="s">
        <v>360</v>
      </c>
    </row>
    <row r="260" customFormat="false" ht="23.85" hidden="false" customHeight="false" outlineLevel="0" collapsed="false">
      <c r="A260" s="6" t="s">
        <v>694</v>
      </c>
      <c r="B260" s="6" t="s">
        <v>886</v>
      </c>
      <c r="C260" s="6" t="s">
        <v>696</v>
      </c>
      <c r="D260" s="7" t="s">
        <v>887</v>
      </c>
      <c r="E260" s="6" t="s">
        <v>356</v>
      </c>
      <c r="F260" s="6"/>
    </row>
    <row r="261" customFormat="false" ht="23.85" hidden="false" customHeight="false" outlineLevel="0" collapsed="false">
      <c r="A261" s="6" t="s">
        <v>694</v>
      </c>
      <c r="B261" s="6" t="s">
        <v>888</v>
      </c>
      <c r="C261" s="6" t="s">
        <v>696</v>
      </c>
      <c r="D261" s="7" t="s">
        <v>889</v>
      </c>
      <c r="E261" s="6" t="s">
        <v>359</v>
      </c>
      <c r="F261" s="6" t="s">
        <v>360</v>
      </c>
    </row>
    <row r="262" customFormat="false" ht="23.85" hidden="false" customHeight="false" outlineLevel="0" collapsed="false">
      <c r="A262" s="6" t="s">
        <v>694</v>
      </c>
      <c r="B262" s="6" t="s">
        <v>890</v>
      </c>
      <c r="C262" s="6" t="s">
        <v>696</v>
      </c>
      <c r="D262" s="7" t="s">
        <v>891</v>
      </c>
      <c r="E262" s="6" t="s">
        <v>359</v>
      </c>
      <c r="F262" s="6" t="s">
        <v>360</v>
      </c>
    </row>
    <row r="263" customFormat="false" ht="23.85" hidden="false" customHeight="false" outlineLevel="0" collapsed="false">
      <c r="A263" s="6" t="s">
        <v>694</v>
      </c>
      <c r="B263" s="6" t="s">
        <v>892</v>
      </c>
      <c r="C263" s="6" t="s">
        <v>696</v>
      </c>
      <c r="D263" s="7" t="s">
        <v>893</v>
      </c>
      <c r="E263" s="6" t="s">
        <v>359</v>
      </c>
      <c r="F263" s="6" t="s">
        <v>360</v>
      </c>
    </row>
    <row r="264" customFormat="false" ht="23.85" hidden="false" customHeight="false" outlineLevel="0" collapsed="false">
      <c r="A264" s="6" t="s">
        <v>694</v>
      </c>
      <c r="B264" s="6" t="s">
        <v>894</v>
      </c>
      <c r="C264" s="6" t="s">
        <v>696</v>
      </c>
      <c r="D264" s="7" t="s">
        <v>895</v>
      </c>
      <c r="E264" s="6" t="s">
        <v>613</v>
      </c>
      <c r="F264" s="6"/>
    </row>
    <row r="265" customFormat="false" ht="23.85" hidden="false" customHeight="false" outlineLevel="0" collapsed="false">
      <c r="A265" s="6" t="s">
        <v>694</v>
      </c>
      <c r="B265" s="6" t="s">
        <v>896</v>
      </c>
      <c r="C265" s="6" t="s">
        <v>696</v>
      </c>
      <c r="D265" s="7" t="s">
        <v>897</v>
      </c>
      <c r="E265" s="6" t="s">
        <v>503</v>
      </c>
      <c r="F265" s="6"/>
    </row>
    <row r="266" customFormat="false" ht="23.85" hidden="false" customHeight="false" outlineLevel="0" collapsed="false">
      <c r="A266" s="6" t="s">
        <v>694</v>
      </c>
      <c r="B266" s="6" t="s">
        <v>898</v>
      </c>
      <c r="C266" s="6" t="s">
        <v>696</v>
      </c>
      <c r="D266" s="7" t="s">
        <v>899</v>
      </c>
      <c r="E266" s="6" t="s">
        <v>359</v>
      </c>
      <c r="F266" s="6" t="s">
        <v>360</v>
      </c>
    </row>
    <row r="267" customFormat="false" ht="23.85" hidden="false" customHeight="false" outlineLevel="0" collapsed="false">
      <c r="A267" s="6" t="s">
        <v>694</v>
      </c>
      <c r="B267" s="6" t="s">
        <v>900</v>
      </c>
      <c r="C267" s="6" t="s">
        <v>696</v>
      </c>
      <c r="D267" s="7" t="s">
        <v>901</v>
      </c>
      <c r="E267" s="6" t="s">
        <v>359</v>
      </c>
      <c r="F267" s="6"/>
    </row>
    <row r="268" customFormat="false" ht="23.85" hidden="false" customHeight="false" outlineLevel="0" collapsed="false">
      <c r="A268" s="6" t="s">
        <v>694</v>
      </c>
      <c r="B268" s="6" t="s">
        <v>902</v>
      </c>
      <c r="C268" s="6" t="s">
        <v>696</v>
      </c>
      <c r="D268" s="7" t="s">
        <v>903</v>
      </c>
      <c r="E268" s="6" t="s">
        <v>356</v>
      </c>
      <c r="F268" s="6" t="s">
        <v>360</v>
      </c>
    </row>
    <row r="269" customFormat="false" ht="23.85" hidden="false" customHeight="false" outlineLevel="0" collapsed="false">
      <c r="A269" s="6" t="s">
        <v>694</v>
      </c>
      <c r="B269" s="6" t="s">
        <v>904</v>
      </c>
      <c r="C269" s="6" t="s">
        <v>696</v>
      </c>
      <c r="D269" s="7" t="s">
        <v>905</v>
      </c>
      <c r="E269" s="6" t="s">
        <v>359</v>
      </c>
      <c r="F269" s="6"/>
    </row>
    <row r="270" customFormat="false" ht="23.85" hidden="false" customHeight="false" outlineLevel="0" collapsed="false">
      <c r="A270" s="6" t="s">
        <v>694</v>
      </c>
      <c r="B270" s="6" t="s">
        <v>906</v>
      </c>
      <c r="C270" s="6" t="s">
        <v>696</v>
      </c>
      <c r="D270" s="7" t="s">
        <v>907</v>
      </c>
      <c r="E270" s="6" t="s">
        <v>503</v>
      </c>
      <c r="F270" s="6" t="s">
        <v>360</v>
      </c>
    </row>
    <row r="271" customFormat="false" ht="23.85" hidden="false" customHeight="false" outlineLevel="0" collapsed="false">
      <c r="A271" s="6" t="s">
        <v>694</v>
      </c>
      <c r="B271" s="6" t="s">
        <v>908</v>
      </c>
      <c r="C271" s="6" t="s">
        <v>696</v>
      </c>
      <c r="D271" s="7" t="s">
        <v>909</v>
      </c>
      <c r="E271" s="6" t="s">
        <v>369</v>
      </c>
      <c r="F271" s="6"/>
    </row>
    <row r="272" customFormat="false" ht="23.85" hidden="false" customHeight="false" outlineLevel="0" collapsed="false">
      <c r="A272" s="6" t="s">
        <v>694</v>
      </c>
      <c r="B272" s="6" t="s">
        <v>910</v>
      </c>
      <c r="C272" s="6" t="s">
        <v>696</v>
      </c>
      <c r="D272" s="7" t="s">
        <v>911</v>
      </c>
      <c r="E272" s="6" t="s">
        <v>359</v>
      </c>
      <c r="F272" s="6"/>
    </row>
    <row r="273" customFormat="false" ht="23.85" hidden="false" customHeight="false" outlineLevel="0" collapsed="false">
      <c r="A273" s="6" t="s">
        <v>694</v>
      </c>
      <c r="B273" s="6" t="s">
        <v>912</v>
      </c>
      <c r="C273" s="6" t="s">
        <v>696</v>
      </c>
      <c r="D273" s="7" t="s">
        <v>913</v>
      </c>
      <c r="E273" s="6" t="s">
        <v>356</v>
      </c>
      <c r="F273" s="6"/>
    </row>
    <row r="274" customFormat="false" ht="23.85" hidden="false" customHeight="false" outlineLevel="0" collapsed="false">
      <c r="A274" s="6" t="s">
        <v>694</v>
      </c>
      <c r="B274" s="6" t="s">
        <v>914</v>
      </c>
      <c r="C274" s="6" t="s">
        <v>750</v>
      </c>
      <c r="D274" s="7" t="s">
        <v>915</v>
      </c>
      <c r="E274" s="6" t="s">
        <v>359</v>
      </c>
      <c r="F274" s="6" t="s">
        <v>360</v>
      </c>
    </row>
    <row r="275" customFormat="false" ht="23.85" hidden="false" customHeight="false" outlineLevel="0" collapsed="false">
      <c r="A275" s="6" t="s">
        <v>694</v>
      </c>
      <c r="B275" s="6" t="s">
        <v>916</v>
      </c>
      <c r="C275" s="6" t="s">
        <v>696</v>
      </c>
      <c r="D275" s="7" t="s">
        <v>917</v>
      </c>
      <c r="E275" s="6" t="s">
        <v>359</v>
      </c>
      <c r="F275" s="6" t="s">
        <v>360</v>
      </c>
    </row>
    <row r="276" customFormat="false" ht="23.85" hidden="false" customHeight="false" outlineLevel="0" collapsed="false">
      <c r="A276" s="6" t="s">
        <v>694</v>
      </c>
      <c r="B276" s="6" t="s">
        <v>918</v>
      </c>
      <c r="C276" s="6" t="s">
        <v>696</v>
      </c>
      <c r="D276" s="7" t="s">
        <v>919</v>
      </c>
      <c r="E276" s="6" t="s">
        <v>359</v>
      </c>
      <c r="F276" s="6" t="s">
        <v>360</v>
      </c>
    </row>
    <row r="277" customFormat="false" ht="23.85" hidden="false" customHeight="false" outlineLevel="0" collapsed="false">
      <c r="A277" s="6" t="s">
        <v>694</v>
      </c>
      <c r="B277" s="6" t="s">
        <v>920</v>
      </c>
      <c r="C277" s="6" t="s">
        <v>696</v>
      </c>
      <c r="D277" s="7" t="s">
        <v>921</v>
      </c>
      <c r="E277" s="6" t="s">
        <v>359</v>
      </c>
      <c r="F277" s="6" t="s">
        <v>360</v>
      </c>
    </row>
    <row r="278" customFormat="false" ht="23.85" hidden="false" customHeight="false" outlineLevel="0" collapsed="false">
      <c r="A278" s="6" t="s">
        <v>694</v>
      </c>
      <c r="B278" s="6" t="s">
        <v>922</v>
      </c>
      <c r="C278" s="6" t="s">
        <v>797</v>
      </c>
      <c r="D278" s="7" t="s">
        <v>923</v>
      </c>
      <c r="E278" s="6" t="s">
        <v>359</v>
      </c>
      <c r="F278" s="6"/>
    </row>
    <row r="279" customFormat="false" ht="23.85" hidden="false" customHeight="false" outlineLevel="0" collapsed="false">
      <c r="A279" s="6" t="s">
        <v>694</v>
      </c>
      <c r="B279" s="6" t="s">
        <v>924</v>
      </c>
      <c r="C279" s="6" t="s">
        <v>696</v>
      </c>
      <c r="D279" s="7" t="s">
        <v>925</v>
      </c>
      <c r="E279" s="6" t="s">
        <v>503</v>
      </c>
      <c r="F279" s="6" t="s">
        <v>360</v>
      </c>
    </row>
    <row r="280" customFormat="false" ht="23.85" hidden="false" customHeight="false" outlineLevel="0" collapsed="false">
      <c r="A280" s="6" t="s">
        <v>694</v>
      </c>
      <c r="B280" s="6" t="s">
        <v>926</v>
      </c>
      <c r="C280" s="6" t="s">
        <v>696</v>
      </c>
      <c r="D280" s="7" t="s">
        <v>927</v>
      </c>
      <c r="E280" s="6" t="s">
        <v>537</v>
      </c>
      <c r="F280" s="6" t="s">
        <v>360</v>
      </c>
    </row>
    <row r="281" customFormat="false" ht="23.85" hidden="false" customHeight="false" outlineLevel="0" collapsed="false">
      <c r="A281" s="6" t="s">
        <v>694</v>
      </c>
      <c r="B281" s="6" t="s">
        <v>928</v>
      </c>
      <c r="C281" s="6" t="s">
        <v>797</v>
      </c>
      <c r="D281" s="7" t="s">
        <v>929</v>
      </c>
      <c r="E281" s="6" t="s">
        <v>356</v>
      </c>
      <c r="F281" s="6"/>
    </row>
    <row r="282" customFormat="false" ht="23.85" hidden="false" customHeight="false" outlineLevel="0" collapsed="false">
      <c r="A282" s="6" t="s">
        <v>694</v>
      </c>
      <c r="B282" s="6" t="s">
        <v>930</v>
      </c>
      <c r="C282" s="6" t="s">
        <v>696</v>
      </c>
      <c r="D282" s="7" t="s">
        <v>931</v>
      </c>
      <c r="E282" s="6" t="s">
        <v>359</v>
      </c>
      <c r="F282" s="6" t="s">
        <v>360</v>
      </c>
    </row>
    <row r="283" customFormat="false" ht="23.85" hidden="false" customHeight="false" outlineLevel="0" collapsed="false">
      <c r="A283" s="6" t="s">
        <v>694</v>
      </c>
      <c r="B283" s="6" t="s">
        <v>932</v>
      </c>
      <c r="C283" s="6" t="s">
        <v>696</v>
      </c>
      <c r="D283" s="7" t="s">
        <v>933</v>
      </c>
      <c r="E283" s="6" t="s">
        <v>613</v>
      </c>
      <c r="F283" s="6" t="s">
        <v>360</v>
      </c>
    </row>
    <row r="284" customFormat="false" ht="23.85" hidden="false" customHeight="false" outlineLevel="0" collapsed="false">
      <c r="A284" s="6" t="s">
        <v>694</v>
      </c>
      <c r="B284" s="6" t="s">
        <v>934</v>
      </c>
      <c r="C284" s="6" t="s">
        <v>935</v>
      </c>
      <c r="D284" s="7" t="s">
        <v>936</v>
      </c>
      <c r="E284" s="6" t="s">
        <v>613</v>
      </c>
      <c r="F284" s="6" t="s">
        <v>360</v>
      </c>
    </row>
    <row r="285" customFormat="false" ht="23.85" hidden="false" customHeight="false" outlineLevel="0" collapsed="false">
      <c r="A285" s="6" t="s">
        <v>694</v>
      </c>
      <c r="B285" s="6" t="s">
        <v>937</v>
      </c>
      <c r="C285" s="6" t="s">
        <v>696</v>
      </c>
      <c r="D285" s="7" t="s">
        <v>938</v>
      </c>
      <c r="E285" s="6" t="s">
        <v>359</v>
      </c>
      <c r="F285" s="6" t="s">
        <v>360</v>
      </c>
    </row>
    <row r="286" customFormat="false" ht="23.85" hidden="false" customHeight="false" outlineLevel="0" collapsed="false">
      <c r="A286" s="6" t="s">
        <v>694</v>
      </c>
      <c r="B286" s="6" t="s">
        <v>939</v>
      </c>
      <c r="C286" s="6" t="s">
        <v>696</v>
      </c>
      <c r="D286" s="7" t="s">
        <v>940</v>
      </c>
      <c r="E286" s="6" t="s">
        <v>359</v>
      </c>
      <c r="F286" s="6" t="s">
        <v>360</v>
      </c>
    </row>
    <row r="287" customFormat="false" ht="23.85" hidden="false" customHeight="false" outlineLevel="0" collapsed="false">
      <c r="A287" s="6" t="s">
        <v>694</v>
      </c>
      <c r="B287" s="6" t="s">
        <v>941</v>
      </c>
      <c r="C287" s="6" t="s">
        <v>696</v>
      </c>
      <c r="D287" s="7" t="s">
        <v>942</v>
      </c>
      <c r="E287" s="6" t="s">
        <v>359</v>
      </c>
      <c r="F287" s="6" t="s">
        <v>360</v>
      </c>
    </row>
    <row r="288" customFormat="false" ht="23.85" hidden="false" customHeight="false" outlineLevel="0" collapsed="false">
      <c r="A288" s="6" t="s">
        <v>694</v>
      </c>
      <c r="B288" s="6" t="s">
        <v>943</v>
      </c>
      <c r="C288" s="6" t="s">
        <v>696</v>
      </c>
      <c r="D288" s="7" t="s">
        <v>944</v>
      </c>
      <c r="E288" s="6" t="s">
        <v>537</v>
      </c>
      <c r="F288" s="6" t="s">
        <v>360</v>
      </c>
    </row>
    <row r="289" customFormat="false" ht="23.85" hidden="false" customHeight="false" outlineLevel="0" collapsed="false">
      <c r="A289" s="6" t="s">
        <v>694</v>
      </c>
      <c r="B289" s="6" t="s">
        <v>945</v>
      </c>
      <c r="C289" s="6" t="s">
        <v>696</v>
      </c>
      <c r="D289" s="7" t="s">
        <v>946</v>
      </c>
      <c r="E289" s="6" t="s">
        <v>359</v>
      </c>
      <c r="F289" s="6"/>
    </row>
    <row r="290" customFormat="false" ht="23.85" hidden="false" customHeight="false" outlineLevel="0" collapsed="false">
      <c r="A290" s="6" t="s">
        <v>694</v>
      </c>
      <c r="B290" s="6" t="s">
        <v>947</v>
      </c>
      <c r="C290" s="6" t="s">
        <v>696</v>
      </c>
      <c r="D290" s="7" t="s">
        <v>948</v>
      </c>
      <c r="E290" s="6" t="s">
        <v>356</v>
      </c>
      <c r="F290" s="6"/>
    </row>
    <row r="291" customFormat="false" ht="23.85" hidden="false" customHeight="false" outlineLevel="0" collapsed="false">
      <c r="A291" s="6" t="s">
        <v>694</v>
      </c>
      <c r="B291" s="6" t="s">
        <v>949</v>
      </c>
      <c r="C291" s="6" t="s">
        <v>696</v>
      </c>
      <c r="D291" s="7" t="s">
        <v>950</v>
      </c>
      <c r="E291" s="6" t="s">
        <v>359</v>
      </c>
      <c r="F291" s="6" t="s">
        <v>360</v>
      </c>
    </row>
    <row r="292" customFormat="false" ht="23.85" hidden="false" customHeight="false" outlineLevel="0" collapsed="false">
      <c r="A292" s="6" t="s">
        <v>694</v>
      </c>
      <c r="B292" s="6" t="s">
        <v>951</v>
      </c>
      <c r="C292" s="6" t="s">
        <v>696</v>
      </c>
      <c r="D292" s="7" t="s">
        <v>952</v>
      </c>
      <c r="E292" s="6" t="s">
        <v>359</v>
      </c>
      <c r="F292" s="6"/>
    </row>
    <row r="293" customFormat="false" ht="15" hidden="false" customHeight="false" outlineLevel="0" collapsed="false">
      <c r="A293" s="6" t="s">
        <v>953</v>
      </c>
      <c r="B293" s="6" t="s">
        <v>954</v>
      </c>
      <c r="C293" s="6" t="s">
        <v>955</v>
      </c>
      <c r="D293" s="7" t="s">
        <v>956</v>
      </c>
      <c r="E293" s="6" t="s">
        <v>359</v>
      </c>
      <c r="F293" s="6"/>
    </row>
    <row r="294" customFormat="false" ht="15" hidden="false" customHeight="false" outlineLevel="0" collapsed="false">
      <c r="A294" s="6" t="s">
        <v>953</v>
      </c>
      <c r="B294" s="6" t="s">
        <v>957</v>
      </c>
      <c r="C294" s="6" t="s">
        <v>955</v>
      </c>
      <c r="D294" s="7" t="s">
        <v>958</v>
      </c>
      <c r="E294" s="6" t="s">
        <v>359</v>
      </c>
      <c r="F294" s="6"/>
    </row>
    <row r="295" customFormat="false" ht="15" hidden="false" customHeight="false" outlineLevel="0" collapsed="false">
      <c r="A295" s="6" t="s">
        <v>953</v>
      </c>
      <c r="B295" s="6" t="s">
        <v>959</v>
      </c>
      <c r="C295" s="6" t="s">
        <v>955</v>
      </c>
      <c r="D295" s="7" t="s">
        <v>960</v>
      </c>
      <c r="E295" s="6" t="s">
        <v>961</v>
      </c>
      <c r="F295" s="6" t="s">
        <v>360</v>
      </c>
    </row>
    <row r="296" customFormat="false" ht="23.85" hidden="false" customHeight="false" outlineLevel="0" collapsed="false">
      <c r="A296" s="6" t="s">
        <v>953</v>
      </c>
      <c r="B296" s="6" t="s">
        <v>962</v>
      </c>
      <c r="C296" s="6" t="s">
        <v>955</v>
      </c>
      <c r="D296" s="7" t="s">
        <v>963</v>
      </c>
      <c r="E296" s="6" t="s">
        <v>503</v>
      </c>
      <c r="F296" s="6"/>
    </row>
    <row r="297" customFormat="false" ht="15" hidden="false" customHeight="false" outlineLevel="0" collapsed="false">
      <c r="A297" s="6" t="s">
        <v>953</v>
      </c>
      <c r="B297" s="6" t="s">
        <v>964</v>
      </c>
      <c r="C297" s="6" t="s">
        <v>955</v>
      </c>
      <c r="D297" s="7" t="s">
        <v>965</v>
      </c>
      <c r="E297" s="6" t="s">
        <v>359</v>
      </c>
      <c r="F297" s="6" t="s">
        <v>360</v>
      </c>
    </row>
    <row r="298" customFormat="false" ht="15" hidden="false" customHeight="false" outlineLevel="0" collapsed="false">
      <c r="A298" s="6" t="s">
        <v>953</v>
      </c>
      <c r="B298" s="6" t="s">
        <v>966</v>
      </c>
      <c r="C298" s="6" t="s">
        <v>955</v>
      </c>
      <c r="D298" s="7" t="s">
        <v>967</v>
      </c>
      <c r="E298" s="6" t="s">
        <v>359</v>
      </c>
      <c r="F298" s="6" t="s">
        <v>360</v>
      </c>
    </row>
    <row r="299" customFormat="false" ht="23.85" hidden="false" customHeight="false" outlineLevel="0" collapsed="false">
      <c r="A299" s="6" t="s">
        <v>953</v>
      </c>
      <c r="B299" s="6" t="s">
        <v>968</v>
      </c>
      <c r="C299" s="6" t="s">
        <v>955</v>
      </c>
      <c r="D299" s="7" t="s">
        <v>969</v>
      </c>
      <c r="E299" s="6" t="s">
        <v>421</v>
      </c>
      <c r="F299" s="6"/>
    </row>
    <row r="300" customFormat="false" ht="15" hidden="false" customHeight="false" outlineLevel="0" collapsed="false">
      <c r="A300" s="6" t="s">
        <v>953</v>
      </c>
      <c r="B300" s="6" t="s">
        <v>970</v>
      </c>
      <c r="C300" s="6" t="s">
        <v>955</v>
      </c>
      <c r="D300" s="7" t="s">
        <v>971</v>
      </c>
      <c r="E300" s="6" t="s">
        <v>359</v>
      </c>
      <c r="F300" s="6" t="s">
        <v>360</v>
      </c>
    </row>
    <row r="301" customFormat="false" ht="15" hidden="false" customHeight="false" outlineLevel="0" collapsed="false">
      <c r="A301" s="6" t="s">
        <v>953</v>
      </c>
      <c r="B301" s="6" t="s">
        <v>972</v>
      </c>
      <c r="C301" s="6" t="s">
        <v>955</v>
      </c>
      <c r="D301" s="7" t="s">
        <v>973</v>
      </c>
      <c r="E301" s="6" t="s">
        <v>359</v>
      </c>
      <c r="F301" s="6"/>
    </row>
    <row r="302" customFormat="false" ht="15" hidden="false" customHeight="false" outlineLevel="0" collapsed="false">
      <c r="A302" s="6" t="s">
        <v>953</v>
      </c>
      <c r="B302" s="6" t="s">
        <v>974</v>
      </c>
      <c r="C302" s="6" t="s">
        <v>955</v>
      </c>
      <c r="D302" s="7" t="s">
        <v>975</v>
      </c>
      <c r="E302" s="6" t="s">
        <v>369</v>
      </c>
      <c r="F302" s="6"/>
    </row>
    <row r="303" customFormat="false" ht="15" hidden="false" customHeight="false" outlineLevel="0" collapsed="false">
      <c r="A303" s="6" t="s">
        <v>953</v>
      </c>
      <c r="B303" s="6" t="s">
        <v>976</v>
      </c>
      <c r="C303" s="6" t="s">
        <v>955</v>
      </c>
      <c r="D303" s="7" t="s">
        <v>977</v>
      </c>
      <c r="E303" s="6" t="s">
        <v>359</v>
      </c>
      <c r="F303" s="6" t="s">
        <v>360</v>
      </c>
    </row>
    <row r="304" customFormat="false" ht="15" hidden="false" customHeight="false" outlineLevel="0" collapsed="false">
      <c r="A304" s="6" t="s">
        <v>953</v>
      </c>
      <c r="B304" s="6" t="s">
        <v>978</v>
      </c>
      <c r="C304" s="6" t="s">
        <v>955</v>
      </c>
      <c r="D304" s="7" t="s">
        <v>979</v>
      </c>
      <c r="E304" s="6" t="s">
        <v>369</v>
      </c>
      <c r="F304" s="6" t="s">
        <v>360</v>
      </c>
    </row>
    <row r="305" customFormat="false" ht="15" hidden="false" customHeight="false" outlineLevel="0" collapsed="false">
      <c r="A305" s="6" t="s">
        <v>953</v>
      </c>
      <c r="B305" s="6" t="s">
        <v>158</v>
      </c>
      <c r="C305" s="6" t="s">
        <v>955</v>
      </c>
      <c r="D305" s="7" t="s">
        <v>980</v>
      </c>
      <c r="E305" s="6" t="s">
        <v>359</v>
      </c>
      <c r="F305" s="6" t="s">
        <v>360</v>
      </c>
    </row>
    <row r="306" customFormat="false" ht="15" hidden="false" customHeight="false" outlineLevel="0" collapsed="false">
      <c r="A306" s="6" t="s">
        <v>953</v>
      </c>
      <c r="B306" s="6" t="s">
        <v>981</v>
      </c>
      <c r="C306" s="6" t="s">
        <v>955</v>
      </c>
      <c r="D306" s="7" t="s">
        <v>982</v>
      </c>
      <c r="E306" s="6" t="s">
        <v>356</v>
      </c>
      <c r="F306" s="6" t="s">
        <v>360</v>
      </c>
    </row>
    <row r="307" customFormat="false" ht="15" hidden="false" customHeight="false" outlineLevel="0" collapsed="false">
      <c r="A307" s="6" t="s">
        <v>953</v>
      </c>
      <c r="B307" s="6" t="s">
        <v>983</v>
      </c>
      <c r="C307" s="6" t="s">
        <v>955</v>
      </c>
      <c r="D307" s="7" t="s">
        <v>984</v>
      </c>
      <c r="E307" s="6" t="s">
        <v>356</v>
      </c>
      <c r="F307" s="6"/>
    </row>
    <row r="308" customFormat="false" ht="15" hidden="false" customHeight="false" outlineLevel="0" collapsed="false">
      <c r="A308" s="6" t="s">
        <v>953</v>
      </c>
      <c r="B308" s="6" t="s">
        <v>985</v>
      </c>
      <c r="C308" s="6" t="s">
        <v>955</v>
      </c>
      <c r="D308" s="7" t="s">
        <v>986</v>
      </c>
      <c r="E308" s="6" t="s">
        <v>359</v>
      </c>
      <c r="F308" s="6"/>
    </row>
    <row r="309" customFormat="false" ht="15" hidden="false" customHeight="false" outlineLevel="0" collapsed="false">
      <c r="A309" s="6" t="s">
        <v>953</v>
      </c>
      <c r="B309" s="6" t="s">
        <v>987</v>
      </c>
      <c r="C309" s="6" t="s">
        <v>988</v>
      </c>
      <c r="D309" s="7" t="s">
        <v>989</v>
      </c>
      <c r="E309" s="6" t="s">
        <v>356</v>
      </c>
      <c r="F309" s="6" t="s">
        <v>360</v>
      </c>
    </row>
    <row r="310" customFormat="false" ht="15" hidden="false" customHeight="false" outlineLevel="0" collapsed="false">
      <c r="A310" s="6" t="s">
        <v>953</v>
      </c>
      <c r="B310" s="6" t="s">
        <v>244</v>
      </c>
      <c r="C310" s="6" t="s">
        <v>955</v>
      </c>
      <c r="D310" s="7" t="s">
        <v>990</v>
      </c>
      <c r="E310" s="6" t="s">
        <v>359</v>
      </c>
      <c r="F310" s="6"/>
    </row>
    <row r="311" customFormat="false" ht="15" hidden="false" customHeight="false" outlineLevel="0" collapsed="false">
      <c r="A311" s="6" t="s">
        <v>953</v>
      </c>
      <c r="B311" s="6" t="s">
        <v>991</v>
      </c>
      <c r="C311" s="6" t="s">
        <v>955</v>
      </c>
      <c r="D311" s="7" t="s">
        <v>992</v>
      </c>
      <c r="E311" s="6" t="s">
        <v>359</v>
      </c>
      <c r="F311" s="6"/>
    </row>
    <row r="312" customFormat="false" ht="15" hidden="false" customHeight="false" outlineLevel="0" collapsed="false">
      <c r="A312" s="6" t="s">
        <v>953</v>
      </c>
      <c r="B312" s="6" t="s">
        <v>993</v>
      </c>
      <c r="C312" s="6" t="s">
        <v>955</v>
      </c>
      <c r="D312" s="7" t="s">
        <v>994</v>
      </c>
      <c r="E312" s="6" t="s">
        <v>537</v>
      </c>
      <c r="F312" s="6" t="s">
        <v>360</v>
      </c>
    </row>
    <row r="313" customFormat="false" ht="23.85" hidden="false" customHeight="false" outlineLevel="0" collapsed="false">
      <c r="A313" s="6" t="s">
        <v>953</v>
      </c>
      <c r="B313" s="6" t="s">
        <v>995</v>
      </c>
      <c r="C313" s="6" t="s">
        <v>955</v>
      </c>
      <c r="D313" s="7" t="s">
        <v>996</v>
      </c>
      <c r="E313" s="6" t="s">
        <v>503</v>
      </c>
      <c r="F313" s="6"/>
    </row>
    <row r="314" customFormat="false" ht="15" hidden="false" customHeight="false" outlineLevel="0" collapsed="false">
      <c r="A314" s="6" t="s">
        <v>953</v>
      </c>
      <c r="B314" s="6" t="s">
        <v>997</v>
      </c>
      <c r="C314" s="6" t="s">
        <v>955</v>
      </c>
      <c r="D314" s="7" t="s">
        <v>998</v>
      </c>
      <c r="E314" s="6" t="s">
        <v>359</v>
      </c>
      <c r="F314" s="6" t="s">
        <v>360</v>
      </c>
    </row>
    <row r="315" customFormat="false" ht="15" hidden="false" customHeight="false" outlineLevel="0" collapsed="false">
      <c r="A315" s="6" t="s">
        <v>953</v>
      </c>
      <c r="B315" s="6" t="s">
        <v>999</v>
      </c>
      <c r="C315" s="6" t="s">
        <v>955</v>
      </c>
      <c r="D315" s="7" t="s">
        <v>1000</v>
      </c>
      <c r="E315" s="6" t="s">
        <v>369</v>
      </c>
      <c r="F315" s="6"/>
    </row>
    <row r="316" customFormat="false" ht="15" hidden="false" customHeight="false" outlineLevel="0" collapsed="false">
      <c r="A316" s="6" t="s">
        <v>953</v>
      </c>
      <c r="B316" s="6" t="s">
        <v>1001</v>
      </c>
      <c r="C316" s="6" t="s">
        <v>1002</v>
      </c>
      <c r="D316" s="7" t="s">
        <v>1003</v>
      </c>
      <c r="E316" s="6" t="s">
        <v>369</v>
      </c>
      <c r="F316" s="6"/>
    </row>
    <row r="317" customFormat="false" ht="15" hidden="false" customHeight="false" outlineLevel="0" collapsed="false">
      <c r="A317" s="6" t="s">
        <v>953</v>
      </c>
      <c r="B317" s="6" t="s">
        <v>1004</v>
      </c>
      <c r="C317" s="6" t="s">
        <v>955</v>
      </c>
      <c r="D317" s="7" t="s">
        <v>1005</v>
      </c>
      <c r="E317" s="6" t="s">
        <v>369</v>
      </c>
      <c r="F317" s="6"/>
    </row>
    <row r="318" customFormat="false" ht="15" hidden="false" customHeight="false" outlineLevel="0" collapsed="false">
      <c r="A318" s="6" t="s">
        <v>953</v>
      </c>
      <c r="B318" s="6" t="s">
        <v>1006</v>
      </c>
      <c r="C318" s="6" t="s">
        <v>1002</v>
      </c>
      <c r="D318" s="7" t="s">
        <v>1007</v>
      </c>
      <c r="E318" s="6" t="s">
        <v>369</v>
      </c>
      <c r="F318" s="6"/>
    </row>
    <row r="319" customFormat="false" ht="15" hidden="false" customHeight="false" outlineLevel="0" collapsed="false">
      <c r="A319" s="6" t="s">
        <v>953</v>
      </c>
      <c r="B319" s="6" t="s">
        <v>1008</v>
      </c>
      <c r="C319" s="6" t="s">
        <v>1009</v>
      </c>
      <c r="D319" s="7" t="s">
        <v>1010</v>
      </c>
      <c r="E319" s="6" t="s">
        <v>369</v>
      </c>
      <c r="F319" s="6" t="s">
        <v>360</v>
      </c>
    </row>
    <row r="320" customFormat="false" ht="15" hidden="false" customHeight="false" outlineLevel="0" collapsed="false">
      <c r="A320" s="6" t="s">
        <v>953</v>
      </c>
      <c r="B320" s="6" t="s">
        <v>1011</v>
      </c>
      <c r="C320" s="6" t="s">
        <v>955</v>
      </c>
      <c r="D320" s="7" t="s">
        <v>1012</v>
      </c>
      <c r="E320" s="6" t="s">
        <v>359</v>
      </c>
      <c r="F320" s="6"/>
    </row>
    <row r="321" customFormat="false" ht="15" hidden="false" customHeight="false" outlineLevel="0" collapsed="false">
      <c r="A321" s="6" t="s">
        <v>953</v>
      </c>
      <c r="B321" s="6" t="s">
        <v>1013</v>
      </c>
      <c r="C321" s="6" t="s">
        <v>955</v>
      </c>
      <c r="D321" s="7" t="s">
        <v>1014</v>
      </c>
      <c r="E321" s="6" t="s">
        <v>359</v>
      </c>
      <c r="F321" s="6" t="s">
        <v>360</v>
      </c>
    </row>
    <row r="322" customFormat="false" ht="15" hidden="false" customHeight="false" outlineLevel="0" collapsed="false">
      <c r="A322" s="6" t="s">
        <v>953</v>
      </c>
      <c r="B322" s="6" t="s">
        <v>1015</v>
      </c>
      <c r="C322" s="6" t="s">
        <v>955</v>
      </c>
      <c r="D322" s="7" t="s">
        <v>1016</v>
      </c>
      <c r="E322" s="6" t="s">
        <v>369</v>
      </c>
      <c r="F322" s="6"/>
    </row>
    <row r="323" customFormat="false" ht="15" hidden="false" customHeight="false" outlineLevel="0" collapsed="false">
      <c r="A323" s="6" t="s">
        <v>953</v>
      </c>
      <c r="B323" s="6" t="s">
        <v>1017</v>
      </c>
      <c r="C323" s="6" t="s">
        <v>955</v>
      </c>
      <c r="D323" s="7" t="s">
        <v>1018</v>
      </c>
      <c r="E323" s="6" t="s">
        <v>359</v>
      </c>
      <c r="F323" s="6"/>
    </row>
    <row r="324" customFormat="false" ht="15" hidden="false" customHeight="false" outlineLevel="0" collapsed="false">
      <c r="A324" s="6" t="s">
        <v>953</v>
      </c>
      <c r="B324" s="6" t="s">
        <v>1019</v>
      </c>
      <c r="C324" s="6" t="s">
        <v>955</v>
      </c>
      <c r="D324" s="7" t="s">
        <v>1020</v>
      </c>
      <c r="E324" s="6" t="s">
        <v>359</v>
      </c>
      <c r="F324" s="6" t="s">
        <v>360</v>
      </c>
    </row>
    <row r="325" customFormat="false" ht="15" hidden="false" customHeight="false" outlineLevel="0" collapsed="false">
      <c r="A325" s="6" t="s">
        <v>953</v>
      </c>
      <c r="B325" s="6" t="s">
        <v>1021</v>
      </c>
      <c r="C325" s="6" t="s">
        <v>955</v>
      </c>
      <c r="D325" s="7" t="s">
        <v>1022</v>
      </c>
      <c r="E325" s="6" t="s">
        <v>359</v>
      </c>
      <c r="F325" s="6" t="s">
        <v>360</v>
      </c>
    </row>
    <row r="326" customFormat="false" ht="15" hidden="false" customHeight="false" outlineLevel="0" collapsed="false">
      <c r="A326" s="6" t="s">
        <v>953</v>
      </c>
      <c r="B326" s="6" t="s">
        <v>1023</v>
      </c>
      <c r="C326" s="6" t="s">
        <v>955</v>
      </c>
      <c r="D326" s="7" t="s">
        <v>1024</v>
      </c>
      <c r="E326" s="6" t="s">
        <v>359</v>
      </c>
      <c r="F326" s="6" t="s">
        <v>360</v>
      </c>
    </row>
    <row r="327" customFormat="false" ht="15" hidden="false" customHeight="false" outlineLevel="0" collapsed="false">
      <c r="A327" s="6" t="s">
        <v>953</v>
      </c>
      <c r="B327" s="6" t="s">
        <v>1025</v>
      </c>
      <c r="C327" s="6" t="s">
        <v>955</v>
      </c>
      <c r="D327" s="7" t="s">
        <v>1026</v>
      </c>
      <c r="E327" s="6" t="s">
        <v>359</v>
      </c>
      <c r="F327" s="6"/>
    </row>
    <row r="328" customFormat="false" ht="15" hidden="false" customHeight="false" outlineLevel="0" collapsed="false">
      <c r="A328" s="6" t="s">
        <v>953</v>
      </c>
      <c r="B328" s="6" t="s">
        <v>1027</v>
      </c>
      <c r="C328" s="6" t="s">
        <v>955</v>
      </c>
      <c r="D328" s="7" t="s">
        <v>1028</v>
      </c>
      <c r="E328" s="6" t="s">
        <v>359</v>
      </c>
      <c r="F328" s="6" t="s">
        <v>360</v>
      </c>
    </row>
    <row r="329" customFormat="false" ht="15" hidden="false" customHeight="false" outlineLevel="0" collapsed="false">
      <c r="A329" s="6" t="s">
        <v>953</v>
      </c>
      <c r="B329" s="6" t="s">
        <v>1029</v>
      </c>
      <c r="C329" s="6" t="s">
        <v>955</v>
      </c>
      <c r="D329" s="7" t="s">
        <v>1030</v>
      </c>
      <c r="E329" s="6" t="s">
        <v>359</v>
      </c>
      <c r="F329" s="6" t="s">
        <v>360</v>
      </c>
    </row>
    <row r="330" customFormat="false" ht="15" hidden="false" customHeight="false" outlineLevel="0" collapsed="false">
      <c r="A330" s="6" t="s">
        <v>953</v>
      </c>
      <c r="B330" s="6" t="s">
        <v>1031</v>
      </c>
      <c r="C330" s="6" t="s">
        <v>955</v>
      </c>
      <c r="D330" s="7" t="s">
        <v>1032</v>
      </c>
      <c r="E330" s="6" t="s">
        <v>359</v>
      </c>
      <c r="F330" s="6" t="s">
        <v>360</v>
      </c>
    </row>
    <row r="331" customFormat="false" ht="15" hidden="false" customHeight="false" outlineLevel="0" collapsed="false">
      <c r="A331" s="6" t="s">
        <v>953</v>
      </c>
      <c r="B331" s="6" t="s">
        <v>1033</v>
      </c>
      <c r="C331" s="6" t="s">
        <v>955</v>
      </c>
      <c r="D331" s="7" t="s">
        <v>1034</v>
      </c>
      <c r="E331" s="6" t="s">
        <v>359</v>
      </c>
      <c r="F331" s="6"/>
    </row>
    <row r="332" customFormat="false" ht="15" hidden="false" customHeight="false" outlineLevel="0" collapsed="false">
      <c r="A332" s="6" t="s">
        <v>953</v>
      </c>
      <c r="B332" s="6" t="s">
        <v>1035</v>
      </c>
      <c r="C332" s="6" t="s">
        <v>955</v>
      </c>
      <c r="D332" s="7" t="s">
        <v>1036</v>
      </c>
      <c r="E332" s="6" t="s">
        <v>359</v>
      </c>
      <c r="F332" s="6"/>
    </row>
    <row r="333" customFormat="false" ht="15" hidden="false" customHeight="false" outlineLevel="0" collapsed="false">
      <c r="A333" s="6" t="s">
        <v>953</v>
      </c>
      <c r="B333" s="6" t="s">
        <v>1037</v>
      </c>
      <c r="C333" s="6" t="s">
        <v>955</v>
      </c>
      <c r="D333" s="7" t="s">
        <v>1038</v>
      </c>
      <c r="E333" s="6" t="s">
        <v>359</v>
      </c>
      <c r="F333" s="6"/>
    </row>
    <row r="334" customFormat="false" ht="15" hidden="false" customHeight="false" outlineLevel="0" collapsed="false">
      <c r="A334" s="6" t="s">
        <v>953</v>
      </c>
      <c r="B334" s="6" t="s">
        <v>1039</v>
      </c>
      <c r="C334" s="6" t="s">
        <v>955</v>
      </c>
      <c r="D334" s="7" t="s">
        <v>1040</v>
      </c>
      <c r="E334" s="6" t="s">
        <v>359</v>
      </c>
      <c r="F334" s="6"/>
    </row>
    <row r="335" customFormat="false" ht="15" hidden="false" customHeight="false" outlineLevel="0" collapsed="false">
      <c r="A335" s="6" t="s">
        <v>953</v>
      </c>
      <c r="B335" s="6" t="s">
        <v>1041</v>
      </c>
      <c r="C335" s="6" t="s">
        <v>955</v>
      </c>
      <c r="D335" s="7" t="s">
        <v>1042</v>
      </c>
      <c r="E335" s="6" t="s">
        <v>359</v>
      </c>
      <c r="F335" s="6"/>
    </row>
    <row r="336" customFormat="false" ht="23.85" hidden="false" customHeight="false" outlineLevel="0" collapsed="false">
      <c r="A336" s="6" t="s">
        <v>953</v>
      </c>
      <c r="B336" s="6" t="s">
        <v>1043</v>
      </c>
      <c r="C336" s="6" t="s">
        <v>955</v>
      </c>
      <c r="D336" s="7" t="s">
        <v>1044</v>
      </c>
      <c r="E336" s="6" t="s">
        <v>503</v>
      </c>
      <c r="F336" s="6" t="s">
        <v>360</v>
      </c>
    </row>
    <row r="337" customFormat="false" ht="15" hidden="false" customHeight="false" outlineLevel="0" collapsed="false">
      <c r="A337" s="6" t="s">
        <v>953</v>
      </c>
      <c r="B337" s="6" t="s">
        <v>1045</v>
      </c>
      <c r="C337" s="6" t="s">
        <v>955</v>
      </c>
      <c r="D337" s="7" t="s">
        <v>1046</v>
      </c>
      <c r="E337" s="6" t="s">
        <v>356</v>
      </c>
      <c r="F337" s="6"/>
    </row>
    <row r="338" customFormat="false" ht="15" hidden="false" customHeight="false" outlineLevel="0" collapsed="false">
      <c r="A338" s="6" t="s">
        <v>953</v>
      </c>
      <c r="B338" s="6" t="s">
        <v>1047</v>
      </c>
      <c r="C338" s="6" t="s">
        <v>955</v>
      </c>
      <c r="D338" s="7" t="s">
        <v>1048</v>
      </c>
      <c r="E338" s="6" t="s">
        <v>359</v>
      </c>
      <c r="F338" s="6" t="s">
        <v>360</v>
      </c>
    </row>
    <row r="339" customFormat="false" ht="23.85" hidden="false" customHeight="false" outlineLevel="0" collapsed="false">
      <c r="A339" s="6" t="s">
        <v>953</v>
      </c>
      <c r="B339" s="6" t="s">
        <v>1049</v>
      </c>
      <c r="C339" s="6" t="s">
        <v>955</v>
      </c>
      <c r="D339" s="7" t="s">
        <v>1050</v>
      </c>
      <c r="E339" s="6" t="s">
        <v>359</v>
      </c>
      <c r="F339" s="6" t="s">
        <v>360</v>
      </c>
    </row>
    <row r="340" customFormat="false" ht="15" hidden="false" customHeight="false" outlineLevel="0" collapsed="false">
      <c r="A340" s="6" t="s">
        <v>953</v>
      </c>
      <c r="B340" s="6" t="s">
        <v>1051</v>
      </c>
      <c r="C340" s="6" t="s">
        <v>955</v>
      </c>
      <c r="D340" s="7" t="s">
        <v>1052</v>
      </c>
      <c r="E340" s="6" t="s">
        <v>359</v>
      </c>
      <c r="F340" s="6"/>
    </row>
    <row r="341" customFormat="false" ht="15" hidden="false" customHeight="false" outlineLevel="0" collapsed="false">
      <c r="A341" s="6" t="s">
        <v>953</v>
      </c>
      <c r="B341" s="6" t="s">
        <v>1053</v>
      </c>
      <c r="C341" s="6" t="s">
        <v>1054</v>
      </c>
      <c r="D341" s="7" t="s">
        <v>1055</v>
      </c>
      <c r="E341" s="6" t="s">
        <v>359</v>
      </c>
      <c r="F341" s="6" t="s">
        <v>360</v>
      </c>
    </row>
    <row r="342" customFormat="false" ht="23.85" hidden="false" customHeight="false" outlineLevel="0" collapsed="false">
      <c r="A342" s="6" t="s">
        <v>953</v>
      </c>
      <c r="B342" s="6" t="s">
        <v>1056</v>
      </c>
      <c r="C342" s="6" t="s">
        <v>955</v>
      </c>
      <c r="D342" s="7" t="s">
        <v>1057</v>
      </c>
      <c r="E342" s="6" t="s">
        <v>503</v>
      </c>
      <c r="F342" s="6"/>
    </row>
    <row r="343" customFormat="false" ht="15" hidden="false" customHeight="false" outlineLevel="0" collapsed="false">
      <c r="A343" s="6" t="s">
        <v>953</v>
      </c>
      <c r="B343" s="6" t="s">
        <v>1058</v>
      </c>
      <c r="C343" s="6" t="s">
        <v>955</v>
      </c>
      <c r="D343" s="7" t="s">
        <v>1059</v>
      </c>
      <c r="E343" s="6" t="s">
        <v>356</v>
      </c>
      <c r="F343" s="6" t="s">
        <v>360</v>
      </c>
    </row>
    <row r="344" customFormat="false" ht="15" hidden="false" customHeight="false" outlineLevel="0" collapsed="false">
      <c r="A344" s="6" t="s">
        <v>953</v>
      </c>
      <c r="B344" s="6" t="s">
        <v>1060</v>
      </c>
      <c r="C344" s="6" t="s">
        <v>955</v>
      </c>
      <c r="D344" s="7" t="s">
        <v>1061</v>
      </c>
      <c r="E344" s="6" t="s">
        <v>359</v>
      </c>
      <c r="F344" s="6"/>
    </row>
    <row r="345" customFormat="false" ht="15" hidden="false" customHeight="false" outlineLevel="0" collapsed="false">
      <c r="A345" s="6" t="s">
        <v>953</v>
      </c>
      <c r="B345" s="6" t="s">
        <v>1062</v>
      </c>
      <c r="C345" s="6" t="s">
        <v>955</v>
      </c>
      <c r="D345" s="7" t="s">
        <v>1063</v>
      </c>
      <c r="E345" s="6" t="s">
        <v>356</v>
      </c>
      <c r="F345" s="6" t="s">
        <v>360</v>
      </c>
    </row>
    <row r="346" customFormat="false" ht="15" hidden="false" customHeight="false" outlineLevel="0" collapsed="false">
      <c r="A346" s="6" t="s">
        <v>953</v>
      </c>
      <c r="B346" s="6" t="s">
        <v>1064</v>
      </c>
      <c r="C346" s="6" t="s">
        <v>955</v>
      </c>
      <c r="D346" s="7" t="s">
        <v>1065</v>
      </c>
      <c r="E346" s="6" t="s">
        <v>359</v>
      </c>
      <c r="F346" s="6" t="s">
        <v>360</v>
      </c>
    </row>
    <row r="347" customFormat="false" ht="15" hidden="false" customHeight="false" outlineLevel="0" collapsed="false">
      <c r="A347" s="6" t="s">
        <v>953</v>
      </c>
      <c r="B347" s="6" t="s">
        <v>1066</v>
      </c>
      <c r="C347" s="6" t="s">
        <v>955</v>
      </c>
      <c r="D347" s="7" t="s">
        <v>1067</v>
      </c>
      <c r="E347" s="6" t="s">
        <v>359</v>
      </c>
      <c r="F347" s="6"/>
    </row>
    <row r="348" customFormat="false" ht="15" hidden="false" customHeight="false" outlineLevel="0" collapsed="false">
      <c r="A348" s="6" t="s">
        <v>953</v>
      </c>
      <c r="B348" s="6" t="s">
        <v>1068</v>
      </c>
      <c r="C348" s="6" t="s">
        <v>955</v>
      </c>
      <c r="D348" s="7" t="s">
        <v>1069</v>
      </c>
      <c r="E348" s="6" t="s">
        <v>369</v>
      </c>
      <c r="F348" s="6"/>
    </row>
    <row r="349" customFormat="false" ht="15" hidden="false" customHeight="false" outlineLevel="0" collapsed="false">
      <c r="A349" s="6" t="s">
        <v>953</v>
      </c>
      <c r="B349" s="6" t="s">
        <v>1070</v>
      </c>
      <c r="C349" s="6" t="s">
        <v>955</v>
      </c>
      <c r="D349" s="7" t="s">
        <v>1071</v>
      </c>
      <c r="E349" s="6" t="s">
        <v>1072</v>
      </c>
      <c r="F349" s="6"/>
    </row>
    <row r="350" customFormat="false" ht="15" hidden="false" customHeight="false" outlineLevel="0" collapsed="false">
      <c r="A350" s="6" t="s">
        <v>953</v>
      </c>
      <c r="B350" s="6" t="s">
        <v>1073</v>
      </c>
      <c r="C350" s="6" t="s">
        <v>1002</v>
      </c>
      <c r="D350" s="7" t="s">
        <v>1074</v>
      </c>
      <c r="E350" s="6" t="s">
        <v>359</v>
      </c>
      <c r="F350" s="6"/>
    </row>
    <row r="351" customFormat="false" ht="23.85" hidden="false" customHeight="false" outlineLevel="0" collapsed="false">
      <c r="A351" s="6" t="s">
        <v>953</v>
      </c>
      <c r="B351" s="6" t="s">
        <v>1075</v>
      </c>
      <c r="C351" s="6" t="s">
        <v>955</v>
      </c>
      <c r="D351" s="7" t="s">
        <v>1076</v>
      </c>
      <c r="E351" s="6" t="s">
        <v>503</v>
      </c>
      <c r="F351" s="6"/>
    </row>
    <row r="352" customFormat="false" ht="15" hidden="false" customHeight="false" outlineLevel="0" collapsed="false">
      <c r="A352" s="6" t="s">
        <v>953</v>
      </c>
      <c r="B352" s="6" t="s">
        <v>1077</v>
      </c>
      <c r="C352" s="6" t="s">
        <v>1078</v>
      </c>
      <c r="D352" s="7" t="s">
        <v>1079</v>
      </c>
      <c r="E352" s="6" t="s">
        <v>1080</v>
      </c>
      <c r="F352" s="6" t="s">
        <v>360</v>
      </c>
    </row>
    <row r="353" customFormat="false" ht="15" hidden="false" customHeight="false" outlineLevel="0" collapsed="false">
      <c r="A353" s="6" t="s">
        <v>953</v>
      </c>
      <c r="B353" s="6" t="s">
        <v>1081</v>
      </c>
      <c r="C353" s="6" t="s">
        <v>955</v>
      </c>
      <c r="D353" s="7" t="s">
        <v>1082</v>
      </c>
      <c r="E353" s="6" t="s">
        <v>369</v>
      </c>
      <c r="F353" s="6"/>
    </row>
    <row r="354" customFormat="false" ht="23.85" hidden="false" customHeight="false" outlineLevel="0" collapsed="false">
      <c r="A354" s="6" t="s">
        <v>953</v>
      </c>
      <c r="B354" s="6" t="s">
        <v>1083</v>
      </c>
      <c r="C354" s="6" t="s">
        <v>955</v>
      </c>
      <c r="D354" s="7" t="s">
        <v>1084</v>
      </c>
      <c r="E354" s="6" t="s">
        <v>503</v>
      </c>
      <c r="F354" s="6"/>
    </row>
    <row r="355" customFormat="false" ht="23.85" hidden="false" customHeight="false" outlineLevel="0" collapsed="false">
      <c r="A355" s="6" t="s">
        <v>953</v>
      </c>
      <c r="B355" s="6" t="s">
        <v>1085</v>
      </c>
      <c r="C355" s="6" t="s">
        <v>955</v>
      </c>
      <c r="D355" s="7" t="s">
        <v>1086</v>
      </c>
      <c r="E355" s="6" t="s">
        <v>503</v>
      </c>
      <c r="F355" s="6"/>
    </row>
    <row r="356" customFormat="false" ht="15" hidden="false" customHeight="false" outlineLevel="0" collapsed="false">
      <c r="A356" s="6" t="s">
        <v>953</v>
      </c>
      <c r="B356" s="6" t="s">
        <v>1087</v>
      </c>
      <c r="C356" s="6" t="s">
        <v>955</v>
      </c>
      <c r="D356" s="7" t="s">
        <v>1088</v>
      </c>
      <c r="E356" s="6" t="s">
        <v>537</v>
      </c>
      <c r="F356" s="6" t="s">
        <v>360</v>
      </c>
    </row>
    <row r="357" customFormat="false" ht="15" hidden="false" customHeight="false" outlineLevel="0" collapsed="false">
      <c r="A357" s="6" t="s">
        <v>953</v>
      </c>
      <c r="B357" s="6" t="s">
        <v>1089</v>
      </c>
      <c r="C357" s="6" t="s">
        <v>955</v>
      </c>
      <c r="D357" s="7" t="s">
        <v>1090</v>
      </c>
      <c r="E357" s="6" t="s">
        <v>369</v>
      </c>
      <c r="F357" s="6"/>
    </row>
    <row r="358" customFormat="false" ht="15" hidden="false" customHeight="false" outlineLevel="0" collapsed="false">
      <c r="A358" s="6" t="s">
        <v>953</v>
      </c>
      <c r="B358" s="6" t="s">
        <v>1091</v>
      </c>
      <c r="C358" s="6" t="s">
        <v>955</v>
      </c>
      <c r="D358" s="7" t="s">
        <v>1092</v>
      </c>
      <c r="E358" s="6" t="s">
        <v>369</v>
      </c>
      <c r="F358" s="6" t="s">
        <v>360</v>
      </c>
    </row>
    <row r="359" customFormat="false" ht="15" hidden="false" customHeight="false" outlineLevel="0" collapsed="false">
      <c r="A359" s="6" t="s">
        <v>953</v>
      </c>
      <c r="B359" s="6" t="s">
        <v>1093</v>
      </c>
      <c r="C359" s="6" t="s">
        <v>955</v>
      </c>
      <c r="D359" s="7" t="s">
        <v>1094</v>
      </c>
      <c r="E359" s="6" t="s">
        <v>356</v>
      </c>
      <c r="F359" s="6"/>
    </row>
    <row r="360" customFormat="false" ht="15" hidden="false" customHeight="false" outlineLevel="0" collapsed="false">
      <c r="A360" s="6" t="s">
        <v>953</v>
      </c>
      <c r="B360" s="6" t="s">
        <v>1095</v>
      </c>
      <c r="C360" s="6" t="s">
        <v>955</v>
      </c>
      <c r="D360" s="7" t="s">
        <v>1096</v>
      </c>
      <c r="E360" s="6" t="s">
        <v>359</v>
      </c>
      <c r="F360" s="6"/>
    </row>
    <row r="361" customFormat="false" ht="15" hidden="false" customHeight="false" outlineLevel="0" collapsed="false">
      <c r="A361" s="6" t="s">
        <v>953</v>
      </c>
      <c r="B361" s="6" t="s">
        <v>1097</v>
      </c>
      <c r="C361" s="6" t="s">
        <v>955</v>
      </c>
      <c r="D361" s="7" t="s">
        <v>1098</v>
      </c>
      <c r="E361" s="6" t="s">
        <v>356</v>
      </c>
      <c r="F361" s="6"/>
    </row>
    <row r="362" customFormat="false" ht="23.85" hidden="false" customHeight="false" outlineLevel="0" collapsed="false">
      <c r="A362" s="6" t="s">
        <v>953</v>
      </c>
      <c r="B362" s="6" t="s">
        <v>206</v>
      </c>
      <c r="C362" s="6" t="s">
        <v>955</v>
      </c>
      <c r="D362" s="7" t="s">
        <v>1099</v>
      </c>
      <c r="E362" s="6" t="s">
        <v>503</v>
      </c>
      <c r="F362" s="6"/>
    </row>
    <row r="363" customFormat="false" ht="15" hidden="false" customHeight="false" outlineLevel="0" collapsed="false">
      <c r="A363" s="6" t="s">
        <v>953</v>
      </c>
      <c r="B363" s="6" t="s">
        <v>1100</v>
      </c>
      <c r="C363" s="6" t="s">
        <v>955</v>
      </c>
      <c r="D363" s="7" t="s">
        <v>1101</v>
      </c>
      <c r="E363" s="6" t="s">
        <v>369</v>
      </c>
      <c r="F363" s="6" t="s">
        <v>360</v>
      </c>
    </row>
    <row r="364" customFormat="false" ht="15" hidden="false" customHeight="false" outlineLevel="0" collapsed="false">
      <c r="A364" s="6" t="s">
        <v>953</v>
      </c>
      <c r="B364" s="6" t="s">
        <v>1102</v>
      </c>
      <c r="C364" s="6" t="s">
        <v>1002</v>
      </c>
      <c r="D364" s="7" t="s">
        <v>1103</v>
      </c>
      <c r="E364" s="6" t="s">
        <v>359</v>
      </c>
      <c r="F364" s="6"/>
    </row>
    <row r="365" customFormat="false" ht="15" hidden="false" customHeight="false" outlineLevel="0" collapsed="false">
      <c r="A365" s="6" t="s">
        <v>953</v>
      </c>
      <c r="B365" s="6" t="s">
        <v>1104</v>
      </c>
      <c r="C365" s="6" t="s">
        <v>955</v>
      </c>
      <c r="D365" s="7" t="s">
        <v>1105</v>
      </c>
      <c r="E365" s="6" t="s">
        <v>356</v>
      </c>
      <c r="F365" s="6"/>
    </row>
    <row r="366" customFormat="false" ht="15" hidden="false" customHeight="false" outlineLevel="0" collapsed="false">
      <c r="A366" s="6" t="s">
        <v>953</v>
      </c>
      <c r="B366" s="6" t="s">
        <v>1106</v>
      </c>
      <c r="C366" s="6" t="s">
        <v>955</v>
      </c>
      <c r="D366" s="7" t="s">
        <v>1107</v>
      </c>
      <c r="E366" s="6" t="s">
        <v>356</v>
      </c>
      <c r="F366" s="6"/>
    </row>
    <row r="367" customFormat="false" ht="15" hidden="false" customHeight="false" outlineLevel="0" collapsed="false">
      <c r="A367" s="6" t="s">
        <v>953</v>
      </c>
      <c r="B367" s="6" t="s">
        <v>1108</v>
      </c>
      <c r="C367" s="6" t="s">
        <v>955</v>
      </c>
      <c r="D367" s="7" t="s">
        <v>1109</v>
      </c>
      <c r="E367" s="6" t="s">
        <v>359</v>
      </c>
      <c r="F367" s="6"/>
    </row>
    <row r="368" customFormat="false" ht="15" hidden="false" customHeight="false" outlineLevel="0" collapsed="false">
      <c r="A368" s="6" t="s">
        <v>953</v>
      </c>
      <c r="B368" s="6" t="s">
        <v>1110</v>
      </c>
      <c r="C368" s="6" t="s">
        <v>955</v>
      </c>
      <c r="D368" s="7" t="s">
        <v>1111</v>
      </c>
      <c r="E368" s="6" t="s">
        <v>359</v>
      </c>
      <c r="F368" s="6" t="s">
        <v>360</v>
      </c>
    </row>
    <row r="369" customFormat="false" ht="23.85" hidden="false" customHeight="false" outlineLevel="0" collapsed="false">
      <c r="A369" s="6" t="s">
        <v>1112</v>
      </c>
      <c r="B369" s="6" t="s">
        <v>1113</v>
      </c>
      <c r="C369" s="6" t="s">
        <v>1114</v>
      </c>
      <c r="D369" s="7" t="s">
        <v>1115</v>
      </c>
      <c r="E369" s="6" t="s">
        <v>503</v>
      </c>
      <c r="F369" s="6"/>
    </row>
    <row r="370" customFormat="false" ht="23.85" hidden="false" customHeight="false" outlineLevel="0" collapsed="false">
      <c r="A370" s="6" t="s">
        <v>1112</v>
      </c>
      <c r="B370" s="6" t="s">
        <v>1116</v>
      </c>
      <c r="C370" s="6" t="s">
        <v>1117</v>
      </c>
      <c r="D370" s="7" t="s">
        <v>1118</v>
      </c>
      <c r="E370" s="6" t="s">
        <v>359</v>
      </c>
      <c r="F370" s="6"/>
    </row>
    <row r="371" customFormat="false" ht="23.85" hidden="false" customHeight="false" outlineLevel="0" collapsed="false">
      <c r="A371" s="6" t="s">
        <v>1112</v>
      </c>
      <c r="B371" s="6" t="s">
        <v>1119</v>
      </c>
      <c r="C371" s="6" t="s">
        <v>1117</v>
      </c>
      <c r="D371" s="7" t="s">
        <v>1120</v>
      </c>
      <c r="E371" s="6" t="s">
        <v>359</v>
      </c>
      <c r="F371" s="6"/>
    </row>
    <row r="372" customFormat="false" ht="23.85" hidden="false" customHeight="false" outlineLevel="0" collapsed="false">
      <c r="A372" s="6" t="s">
        <v>1112</v>
      </c>
      <c r="B372" s="6" t="s">
        <v>1121</v>
      </c>
      <c r="C372" s="6" t="s">
        <v>1117</v>
      </c>
      <c r="D372" s="7" t="s">
        <v>1122</v>
      </c>
      <c r="E372" s="6" t="s">
        <v>359</v>
      </c>
      <c r="F372" s="6"/>
    </row>
    <row r="373" customFormat="false" ht="23.85" hidden="false" customHeight="false" outlineLevel="0" collapsed="false">
      <c r="A373" s="6" t="s">
        <v>1112</v>
      </c>
      <c r="B373" s="6" t="s">
        <v>1123</v>
      </c>
      <c r="C373" s="6" t="s">
        <v>1114</v>
      </c>
      <c r="D373" s="7" t="s">
        <v>1124</v>
      </c>
      <c r="E373" s="6" t="s">
        <v>503</v>
      </c>
      <c r="F373" s="6"/>
    </row>
    <row r="374" customFormat="false" ht="23.85" hidden="false" customHeight="false" outlineLevel="0" collapsed="false">
      <c r="A374" s="6" t="s">
        <v>1112</v>
      </c>
      <c r="B374" s="6" t="s">
        <v>1125</v>
      </c>
      <c r="C374" s="6" t="s">
        <v>1117</v>
      </c>
      <c r="D374" s="7" t="s">
        <v>1126</v>
      </c>
      <c r="E374" s="6" t="s">
        <v>1127</v>
      </c>
      <c r="F374" s="6"/>
    </row>
    <row r="375" customFormat="false" ht="23.85" hidden="false" customHeight="false" outlineLevel="0" collapsed="false">
      <c r="A375" s="6" t="s">
        <v>1112</v>
      </c>
      <c r="B375" s="6" t="s">
        <v>1128</v>
      </c>
      <c r="C375" s="6" t="s">
        <v>1117</v>
      </c>
      <c r="D375" s="7" t="s">
        <v>1129</v>
      </c>
      <c r="E375" s="6" t="s">
        <v>359</v>
      </c>
      <c r="F375" s="6" t="s">
        <v>360</v>
      </c>
    </row>
    <row r="376" customFormat="false" ht="23.85" hidden="false" customHeight="false" outlineLevel="0" collapsed="false">
      <c r="A376" s="6" t="s">
        <v>1112</v>
      </c>
      <c r="B376" s="6" t="s">
        <v>1130</v>
      </c>
      <c r="C376" s="6" t="s">
        <v>1117</v>
      </c>
      <c r="D376" s="7" t="s">
        <v>1131</v>
      </c>
      <c r="E376" s="6" t="s">
        <v>359</v>
      </c>
      <c r="F376" s="6" t="s">
        <v>360</v>
      </c>
    </row>
    <row r="377" customFormat="false" ht="23.85" hidden="false" customHeight="false" outlineLevel="0" collapsed="false">
      <c r="A377" s="6" t="s">
        <v>1112</v>
      </c>
      <c r="B377" s="6" t="s">
        <v>1132</v>
      </c>
      <c r="C377" s="6" t="s">
        <v>1117</v>
      </c>
      <c r="D377" s="7" t="s">
        <v>1133</v>
      </c>
      <c r="E377" s="6" t="s">
        <v>359</v>
      </c>
      <c r="F377" s="6"/>
    </row>
    <row r="378" customFormat="false" ht="23.85" hidden="false" customHeight="false" outlineLevel="0" collapsed="false">
      <c r="A378" s="6" t="s">
        <v>1112</v>
      </c>
      <c r="B378" s="6" t="s">
        <v>1134</v>
      </c>
      <c r="C378" s="6" t="s">
        <v>1117</v>
      </c>
      <c r="D378" s="7" t="s">
        <v>1135</v>
      </c>
      <c r="E378" s="6" t="s">
        <v>1080</v>
      </c>
      <c r="F378" s="6" t="s">
        <v>360</v>
      </c>
    </row>
    <row r="379" customFormat="false" ht="23.85" hidden="false" customHeight="false" outlineLevel="0" collapsed="false">
      <c r="A379" s="6" t="s">
        <v>1112</v>
      </c>
      <c r="B379" s="6" t="s">
        <v>1136</v>
      </c>
      <c r="C379" s="6" t="s">
        <v>1114</v>
      </c>
      <c r="D379" s="7" t="s">
        <v>1137</v>
      </c>
      <c r="E379" s="6" t="s">
        <v>359</v>
      </c>
      <c r="F379" s="6"/>
    </row>
    <row r="380" customFormat="false" ht="35.05" hidden="false" customHeight="false" outlineLevel="0" collapsed="false">
      <c r="A380" s="6" t="s">
        <v>1112</v>
      </c>
      <c r="B380" s="6" t="s">
        <v>1138</v>
      </c>
      <c r="C380" s="6" t="s">
        <v>1114</v>
      </c>
      <c r="D380" s="7" t="s">
        <v>1139</v>
      </c>
      <c r="E380" s="6" t="s">
        <v>1140</v>
      </c>
      <c r="F380" s="6"/>
    </row>
    <row r="381" customFormat="false" ht="23.85" hidden="false" customHeight="false" outlineLevel="0" collapsed="false">
      <c r="A381" s="6" t="s">
        <v>1112</v>
      </c>
      <c r="B381" s="6" t="s">
        <v>1141</v>
      </c>
      <c r="C381" s="6" t="s">
        <v>1117</v>
      </c>
      <c r="D381" s="7" t="s">
        <v>1142</v>
      </c>
      <c r="E381" s="6" t="s">
        <v>369</v>
      </c>
      <c r="F381" s="6" t="s">
        <v>360</v>
      </c>
    </row>
    <row r="382" customFormat="false" ht="23.85" hidden="false" customHeight="false" outlineLevel="0" collapsed="false">
      <c r="A382" s="6" t="s">
        <v>1112</v>
      </c>
      <c r="B382" s="6" t="s">
        <v>1143</v>
      </c>
      <c r="C382" s="6" t="s">
        <v>1144</v>
      </c>
      <c r="D382" s="7" t="s">
        <v>1145</v>
      </c>
      <c r="E382" s="6" t="s">
        <v>503</v>
      </c>
      <c r="F382" s="6"/>
    </row>
    <row r="383" customFormat="false" ht="23.85" hidden="false" customHeight="false" outlineLevel="0" collapsed="false">
      <c r="A383" s="6" t="s">
        <v>1112</v>
      </c>
      <c r="B383" s="6" t="s">
        <v>1146</v>
      </c>
      <c r="C383" s="6" t="s">
        <v>1144</v>
      </c>
      <c r="D383" s="7" t="s">
        <v>1147</v>
      </c>
      <c r="E383" s="6" t="s">
        <v>359</v>
      </c>
      <c r="F383" s="6"/>
    </row>
    <row r="384" customFormat="false" ht="23.85" hidden="false" customHeight="false" outlineLevel="0" collapsed="false">
      <c r="A384" s="6" t="s">
        <v>1112</v>
      </c>
      <c r="B384" s="6" t="s">
        <v>1148</v>
      </c>
      <c r="C384" s="6" t="s">
        <v>1144</v>
      </c>
      <c r="D384" s="7" t="s">
        <v>1149</v>
      </c>
      <c r="E384" s="6" t="s">
        <v>359</v>
      </c>
      <c r="F384" s="6"/>
    </row>
    <row r="385" customFormat="false" ht="23.85" hidden="false" customHeight="false" outlineLevel="0" collapsed="false">
      <c r="A385" s="6" t="s">
        <v>1112</v>
      </c>
      <c r="B385" s="6" t="s">
        <v>1150</v>
      </c>
      <c r="C385" s="6" t="s">
        <v>1144</v>
      </c>
      <c r="D385" s="7" t="s">
        <v>1151</v>
      </c>
      <c r="E385" s="6" t="s">
        <v>503</v>
      </c>
      <c r="F385" s="6"/>
    </row>
    <row r="386" customFormat="false" ht="23.85" hidden="false" customHeight="false" outlineLevel="0" collapsed="false">
      <c r="A386" s="6" t="s">
        <v>1112</v>
      </c>
      <c r="B386" s="6" t="s">
        <v>1152</v>
      </c>
      <c r="C386" s="6" t="s">
        <v>1144</v>
      </c>
      <c r="D386" s="7" t="s">
        <v>1153</v>
      </c>
      <c r="E386" s="6" t="s">
        <v>359</v>
      </c>
      <c r="F386" s="6" t="s">
        <v>360</v>
      </c>
    </row>
    <row r="387" customFormat="false" ht="23.85" hidden="false" customHeight="false" outlineLevel="0" collapsed="false">
      <c r="A387" s="6" t="s">
        <v>1112</v>
      </c>
      <c r="B387" s="6" t="s">
        <v>1154</v>
      </c>
      <c r="C387" s="6" t="s">
        <v>1144</v>
      </c>
      <c r="D387" s="7" t="s">
        <v>1155</v>
      </c>
      <c r="E387" s="6" t="s">
        <v>359</v>
      </c>
      <c r="F387" s="6"/>
    </row>
    <row r="388" customFormat="false" ht="23.85" hidden="false" customHeight="false" outlineLevel="0" collapsed="false">
      <c r="A388" s="6" t="s">
        <v>1112</v>
      </c>
      <c r="B388" s="6" t="s">
        <v>1156</v>
      </c>
      <c r="C388" s="6" t="s">
        <v>1114</v>
      </c>
      <c r="D388" s="7" t="s">
        <v>1157</v>
      </c>
      <c r="E388" s="6" t="s">
        <v>613</v>
      </c>
      <c r="F388" s="6"/>
    </row>
    <row r="389" customFormat="false" ht="23.85" hidden="false" customHeight="false" outlineLevel="0" collapsed="false">
      <c r="A389" s="6" t="s">
        <v>1112</v>
      </c>
      <c r="B389" s="6" t="s">
        <v>1158</v>
      </c>
      <c r="C389" s="6" t="s">
        <v>1114</v>
      </c>
      <c r="D389" s="7" t="s">
        <v>1159</v>
      </c>
      <c r="E389" s="6" t="s">
        <v>503</v>
      </c>
      <c r="F389" s="6"/>
    </row>
    <row r="390" customFormat="false" ht="23.85" hidden="false" customHeight="false" outlineLevel="0" collapsed="false">
      <c r="A390" s="6" t="s">
        <v>1112</v>
      </c>
      <c r="B390" s="6" t="s">
        <v>1160</v>
      </c>
      <c r="C390" s="6" t="s">
        <v>1114</v>
      </c>
      <c r="D390" s="7" t="s">
        <v>1161</v>
      </c>
      <c r="E390" s="6" t="s">
        <v>613</v>
      </c>
      <c r="F390" s="6"/>
    </row>
    <row r="391" customFormat="false" ht="23.85" hidden="false" customHeight="false" outlineLevel="0" collapsed="false">
      <c r="A391" s="6" t="s">
        <v>1112</v>
      </c>
      <c r="B391" s="6" t="s">
        <v>1162</v>
      </c>
      <c r="C391" s="6" t="s">
        <v>1114</v>
      </c>
      <c r="D391" s="7" t="s">
        <v>1163</v>
      </c>
      <c r="E391" s="6" t="s">
        <v>613</v>
      </c>
      <c r="F391" s="6"/>
    </row>
    <row r="392" customFormat="false" ht="23.85" hidden="false" customHeight="false" outlineLevel="0" collapsed="false">
      <c r="A392" s="6" t="s">
        <v>1112</v>
      </c>
      <c r="B392" s="6" t="s">
        <v>1164</v>
      </c>
      <c r="C392" s="6" t="s">
        <v>1117</v>
      </c>
      <c r="D392" s="7" t="s">
        <v>1165</v>
      </c>
      <c r="E392" s="6" t="s">
        <v>359</v>
      </c>
      <c r="F392" s="6"/>
    </row>
    <row r="393" customFormat="false" ht="15" hidden="false" customHeight="false" outlineLevel="0" collapsed="false">
      <c r="A393" s="6" t="s">
        <v>1166</v>
      </c>
      <c r="B393" s="6" t="s">
        <v>1167</v>
      </c>
      <c r="C393" s="6" t="s">
        <v>1168</v>
      </c>
      <c r="D393" s="7" t="s">
        <v>1169</v>
      </c>
      <c r="E393" s="6" t="s">
        <v>359</v>
      </c>
      <c r="F393" s="6" t="s">
        <v>360</v>
      </c>
    </row>
    <row r="394" customFormat="false" ht="15" hidden="false" customHeight="false" outlineLevel="0" collapsed="false">
      <c r="A394" s="6" t="s">
        <v>1166</v>
      </c>
      <c r="B394" s="6" t="s">
        <v>1170</v>
      </c>
      <c r="C394" s="6" t="s">
        <v>1171</v>
      </c>
      <c r="D394" s="7" t="s">
        <v>1172</v>
      </c>
      <c r="E394" s="6" t="s">
        <v>356</v>
      </c>
      <c r="F394" s="6" t="s">
        <v>360</v>
      </c>
    </row>
    <row r="395" customFormat="false" ht="23.85" hidden="false" customHeight="false" outlineLevel="0" collapsed="false">
      <c r="A395" s="6" t="s">
        <v>1166</v>
      </c>
      <c r="B395" s="6" t="s">
        <v>1173</v>
      </c>
      <c r="C395" s="6" t="s">
        <v>1168</v>
      </c>
      <c r="D395" s="7" t="s">
        <v>1174</v>
      </c>
      <c r="E395" s="6" t="s">
        <v>503</v>
      </c>
      <c r="F395" s="6" t="s">
        <v>360</v>
      </c>
    </row>
    <row r="396" customFormat="false" ht="15" hidden="false" customHeight="false" outlineLevel="0" collapsed="false">
      <c r="A396" s="6" t="s">
        <v>1166</v>
      </c>
      <c r="B396" s="6" t="s">
        <v>1175</v>
      </c>
      <c r="C396" s="6" t="s">
        <v>1171</v>
      </c>
      <c r="D396" s="7" t="s">
        <v>1176</v>
      </c>
      <c r="E396" s="6" t="s">
        <v>356</v>
      </c>
      <c r="F396" s="6" t="s">
        <v>360</v>
      </c>
    </row>
    <row r="397" customFormat="false" ht="23.85" hidden="false" customHeight="false" outlineLevel="0" collapsed="false">
      <c r="A397" s="6" t="s">
        <v>1166</v>
      </c>
      <c r="B397" s="6" t="s">
        <v>1177</v>
      </c>
      <c r="C397" s="6" t="s">
        <v>1168</v>
      </c>
      <c r="D397" s="7" t="s">
        <v>1178</v>
      </c>
      <c r="E397" s="6" t="s">
        <v>503</v>
      </c>
      <c r="F397" s="6" t="s">
        <v>360</v>
      </c>
    </row>
    <row r="398" customFormat="false" ht="23.85" hidden="false" customHeight="false" outlineLevel="0" collapsed="false">
      <c r="A398" s="6" t="s">
        <v>1166</v>
      </c>
      <c r="B398" s="6" t="s">
        <v>1179</v>
      </c>
      <c r="C398" s="6" t="s">
        <v>1168</v>
      </c>
      <c r="D398" s="7" t="s">
        <v>1180</v>
      </c>
      <c r="E398" s="6" t="s">
        <v>1181</v>
      </c>
      <c r="F398" s="6" t="s">
        <v>360</v>
      </c>
    </row>
    <row r="399" customFormat="false" ht="23.85" hidden="false" customHeight="false" outlineLevel="0" collapsed="false">
      <c r="A399" s="6" t="s">
        <v>1166</v>
      </c>
      <c r="B399" s="6" t="s">
        <v>1182</v>
      </c>
      <c r="C399" s="6" t="s">
        <v>1183</v>
      </c>
      <c r="D399" s="7" t="s">
        <v>1184</v>
      </c>
      <c r="E399" s="6" t="s">
        <v>503</v>
      </c>
      <c r="F399" s="6" t="s">
        <v>360</v>
      </c>
    </row>
    <row r="400" customFormat="false" ht="15" hidden="false" customHeight="false" outlineLevel="0" collapsed="false">
      <c r="A400" s="6" t="s">
        <v>1166</v>
      </c>
      <c r="B400" s="6" t="s">
        <v>1185</v>
      </c>
      <c r="C400" s="6" t="s">
        <v>1168</v>
      </c>
      <c r="D400" s="7" t="s">
        <v>1186</v>
      </c>
      <c r="E400" s="6" t="s">
        <v>359</v>
      </c>
      <c r="F400" s="6"/>
    </row>
    <row r="401" customFormat="false" ht="15" hidden="false" customHeight="false" outlineLevel="0" collapsed="false">
      <c r="A401" s="6" t="s">
        <v>1166</v>
      </c>
      <c r="B401" s="6" t="s">
        <v>1187</v>
      </c>
      <c r="C401" s="6" t="s">
        <v>1168</v>
      </c>
      <c r="D401" s="7" t="s">
        <v>1188</v>
      </c>
      <c r="E401" s="6" t="s">
        <v>537</v>
      </c>
      <c r="F401" s="6" t="s">
        <v>360</v>
      </c>
    </row>
    <row r="402" customFormat="false" ht="23.85" hidden="false" customHeight="false" outlineLevel="0" collapsed="false">
      <c r="A402" s="6" t="s">
        <v>1166</v>
      </c>
      <c r="B402" s="6" t="s">
        <v>1189</v>
      </c>
      <c r="C402" s="6" t="s">
        <v>1183</v>
      </c>
      <c r="D402" s="7" t="s">
        <v>1190</v>
      </c>
      <c r="E402" s="6" t="s">
        <v>613</v>
      </c>
      <c r="F402" s="6" t="s">
        <v>360</v>
      </c>
    </row>
    <row r="403" customFormat="false" ht="23.85" hidden="false" customHeight="false" outlineLevel="0" collapsed="false">
      <c r="A403" s="6" t="s">
        <v>1166</v>
      </c>
      <c r="B403" s="6" t="s">
        <v>1191</v>
      </c>
      <c r="C403" s="6" t="s">
        <v>1183</v>
      </c>
      <c r="D403" s="7" t="s">
        <v>1192</v>
      </c>
      <c r="E403" s="6" t="s">
        <v>613</v>
      </c>
      <c r="F403" s="6" t="s">
        <v>360</v>
      </c>
    </row>
    <row r="404" customFormat="false" ht="23.85" hidden="false" customHeight="false" outlineLevel="0" collapsed="false">
      <c r="A404" s="6" t="s">
        <v>1166</v>
      </c>
      <c r="B404" s="6" t="s">
        <v>1193</v>
      </c>
      <c r="C404" s="6" t="s">
        <v>1168</v>
      </c>
      <c r="D404" s="7" t="s">
        <v>1194</v>
      </c>
      <c r="E404" s="6" t="s">
        <v>503</v>
      </c>
      <c r="F404" s="6" t="s">
        <v>360</v>
      </c>
    </row>
    <row r="405" customFormat="false" ht="15" hidden="false" customHeight="false" outlineLevel="0" collapsed="false">
      <c r="A405" s="6" t="s">
        <v>1166</v>
      </c>
      <c r="B405" s="6" t="s">
        <v>1195</v>
      </c>
      <c r="C405" s="6" t="s">
        <v>1168</v>
      </c>
      <c r="D405" s="7" t="s">
        <v>1196</v>
      </c>
      <c r="E405" s="6" t="s">
        <v>359</v>
      </c>
      <c r="F405" s="6" t="s">
        <v>360</v>
      </c>
    </row>
    <row r="406" customFormat="false" ht="23.85" hidden="false" customHeight="false" outlineLevel="0" collapsed="false">
      <c r="A406" s="6" t="s">
        <v>1166</v>
      </c>
      <c r="B406" s="6" t="s">
        <v>1197</v>
      </c>
      <c r="C406" s="6" t="s">
        <v>1183</v>
      </c>
      <c r="D406" s="7" t="s">
        <v>1198</v>
      </c>
      <c r="E406" s="6" t="s">
        <v>503</v>
      </c>
      <c r="F406" s="6" t="s">
        <v>360</v>
      </c>
    </row>
    <row r="407" customFormat="false" ht="15" hidden="false" customHeight="false" outlineLevel="0" collapsed="false">
      <c r="A407" s="6" t="s">
        <v>1199</v>
      </c>
      <c r="B407" s="6" t="s">
        <v>318</v>
      </c>
      <c r="C407" s="6" t="s">
        <v>1200</v>
      </c>
      <c r="D407" s="7" t="s">
        <v>326</v>
      </c>
      <c r="E407" s="6" t="s">
        <v>1201</v>
      </c>
      <c r="F407" s="6"/>
    </row>
    <row r="408" customFormat="false" ht="15" hidden="false" customHeight="false" outlineLevel="0" collapsed="false">
      <c r="A408" s="6" t="s">
        <v>1199</v>
      </c>
      <c r="B408" s="6" t="s">
        <v>1202</v>
      </c>
      <c r="C408" s="6" t="s">
        <v>1203</v>
      </c>
      <c r="D408" s="7" t="s">
        <v>1204</v>
      </c>
      <c r="E408" s="6" t="s">
        <v>356</v>
      </c>
      <c r="F408" s="6" t="s">
        <v>360</v>
      </c>
    </row>
    <row r="409" customFormat="false" ht="15" hidden="false" customHeight="false" outlineLevel="0" collapsed="false">
      <c r="A409" s="6" t="s">
        <v>1199</v>
      </c>
      <c r="B409" s="6" t="s">
        <v>1205</v>
      </c>
      <c r="C409" s="6" t="s">
        <v>1203</v>
      </c>
      <c r="D409" s="7" t="s">
        <v>1206</v>
      </c>
      <c r="E409" s="6" t="s">
        <v>356</v>
      </c>
      <c r="F409" s="6" t="s">
        <v>360</v>
      </c>
    </row>
    <row r="410" customFormat="false" ht="15" hidden="false" customHeight="false" outlineLevel="0" collapsed="false">
      <c r="A410" s="6" t="s">
        <v>1199</v>
      </c>
      <c r="B410" s="6" t="s">
        <v>1207</v>
      </c>
      <c r="C410" s="6" t="s">
        <v>1200</v>
      </c>
      <c r="D410" s="7" t="s">
        <v>334</v>
      </c>
      <c r="E410" s="6" t="s">
        <v>359</v>
      </c>
      <c r="F410" s="6"/>
    </row>
    <row r="411" customFormat="false" ht="15" hidden="false" customHeight="false" outlineLevel="0" collapsed="false">
      <c r="A411" s="6" t="s">
        <v>1199</v>
      </c>
      <c r="B411" s="6" t="s">
        <v>1208</v>
      </c>
      <c r="C411" s="6" t="s">
        <v>1209</v>
      </c>
      <c r="D411" s="7" t="s">
        <v>1210</v>
      </c>
      <c r="E411" s="6" t="s">
        <v>369</v>
      </c>
      <c r="F411" s="6" t="s">
        <v>360</v>
      </c>
    </row>
    <row r="412" customFormat="false" ht="23.85" hidden="false" customHeight="false" outlineLevel="0" collapsed="false">
      <c r="A412" s="6" t="s">
        <v>1199</v>
      </c>
      <c r="B412" s="6" t="s">
        <v>1211</v>
      </c>
      <c r="C412" s="6" t="s">
        <v>1212</v>
      </c>
      <c r="D412" s="7" t="s">
        <v>1213</v>
      </c>
      <c r="E412" s="6" t="s">
        <v>359</v>
      </c>
      <c r="F412" s="6" t="s">
        <v>360</v>
      </c>
    </row>
    <row r="413" customFormat="false" ht="15" hidden="false" customHeight="false" outlineLevel="0" collapsed="false">
      <c r="A413" s="6" t="s">
        <v>1199</v>
      </c>
      <c r="B413" s="6" t="s">
        <v>314</v>
      </c>
      <c r="C413" s="6" t="s">
        <v>1214</v>
      </c>
      <c r="D413" s="7" t="s">
        <v>316</v>
      </c>
      <c r="E413" s="6" t="s">
        <v>356</v>
      </c>
      <c r="F413" s="6"/>
    </row>
    <row r="414" customFormat="false" ht="23.85" hidden="false" customHeight="false" outlineLevel="0" collapsed="false">
      <c r="A414" s="6" t="s">
        <v>1199</v>
      </c>
      <c r="B414" s="6" t="s">
        <v>1215</v>
      </c>
      <c r="C414" s="6" t="s">
        <v>1214</v>
      </c>
      <c r="D414" s="7" t="s">
        <v>1216</v>
      </c>
      <c r="E414" s="6" t="s">
        <v>1217</v>
      </c>
      <c r="F414" s="6" t="s">
        <v>360</v>
      </c>
    </row>
    <row r="415" customFormat="false" ht="15" hidden="false" customHeight="false" outlineLevel="0" collapsed="false">
      <c r="A415" s="6" t="s">
        <v>1199</v>
      </c>
      <c r="B415" s="6" t="s">
        <v>1218</v>
      </c>
      <c r="C415" s="6" t="s">
        <v>1214</v>
      </c>
      <c r="D415" s="7" t="s">
        <v>1219</v>
      </c>
      <c r="E415" s="6" t="s">
        <v>356</v>
      </c>
      <c r="F415" s="6" t="s">
        <v>360</v>
      </c>
    </row>
    <row r="416" customFormat="false" ht="15" hidden="false" customHeight="false" outlineLevel="0" collapsed="false">
      <c r="A416" s="6" t="s">
        <v>1199</v>
      </c>
      <c r="B416" s="6" t="s">
        <v>1220</v>
      </c>
      <c r="C416" s="6" t="s">
        <v>1203</v>
      </c>
      <c r="D416" s="7" t="s">
        <v>1221</v>
      </c>
      <c r="E416" s="6" t="s">
        <v>1222</v>
      </c>
      <c r="F416" s="6" t="s">
        <v>360</v>
      </c>
    </row>
    <row r="417" customFormat="false" ht="23.85" hidden="false" customHeight="false" outlineLevel="0" collapsed="false">
      <c r="A417" s="6" t="s">
        <v>1199</v>
      </c>
      <c r="B417" s="6" t="s">
        <v>1223</v>
      </c>
      <c r="C417" s="6" t="s">
        <v>1203</v>
      </c>
      <c r="D417" s="7" t="s">
        <v>1224</v>
      </c>
      <c r="E417" s="6" t="s">
        <v>421</v>
      </c>
      <c r="F417" s="6" t="s">
        <v>360</v>
      </c>
    </row>
    <row r="418" customFormat="false" ht="15" hidden="false" customHeight="false" outlineLevel="0" collapsed="false">
      <c r="A418" s="6" t="s">
        <v>1199</v>
      </c>
      <c r="B418" s="6" t="s">
        <v>1225</v>
      </c>
      <c r="C418" s="6" t="s">
        <v>1212</v>
      </c>
      <c r="D418" s="7" t="s">
        <v>1226</v>
      </c>
      <c r="E418" s="6" t="s">
        <v>537</v>
      </c>
      <c r="F418" s="6"/>
    </row>
    <row r="419" customFormat="false" ht="15" hidden="false" customHeight="false" outlineLevel="0" collapsed="false">
      <c r="A419" s="6" t="s">
        <v>1199</v>
      </c>
      <c r="B419" s="6" t="s">
        <v>1227</v>
      </c>
      <c r="C419" s="6" t="s">
        <v>1228</v>
      </c>
      <c r="D419" s="7" t="s">
        <v>1229</v>
      </c>
      <c r="E419" s="6" t="s">
        <v>359</v>
      </c>
      <c r="F419" s="6" t="s">
        <v>360</v>
      </c>
    </row>
    <row r="420" customFormat="false" ht="15" hidden="false" customHeight="false" outlineLevel="0" collapsed="false">
      <c r="A420" s="6" t="s">
        <v>1199</v>
      </c>
      <c r="B420" s="6" t="s">
        <v>1230</v>
      </c>
      <c r="C420" s="6" t="s">
        <v>1212</v>
      </c>
      <c r="D420" s="7" t="s">
        <v>1231</v>
      </c>
      <c r="E420" s="6" t="s">
        <v>359</v>
      </c>
      <c r="F420" s="6" t="s">
        <v>360</v>
      </c>
    </row>
    <row r="421" customFormat="false" ht="15" hidden="false" customHeight="false" outlineLevel="0" collapsed="false">
      <c r="A421" s="6" t="s">
        <v>1199</v>
      </c>
      <c r="B421" s="6" t="s">
        <v>1232</v>
      </c>
      <c r="C421" s="6" t="s">
        <v>1212</v>
      </c>
      <c r="D421" s="7" t="s">
        <v>112</v>
      </c>
      <c r="E421" s="6" t="s">
        <v>359</v>
      </c>
      <c r="F421" s="6"/>
    </row>
    <row r="422" customFormat="false" ht="15" hidden="false" customHeight="false" outlineLevel="0" collapsed="false">
      <c r="A422" s="6" t="s">
        <v>1199</v>
      </c>
      <c r="B422" s="6" t="s">
        <v>1233</v>
      </c>
      <c r="C422" s="6" t="s">
        <v>1214</v>
      </c>
      <c r="D422" s="7" t="s">
        <v>1234</v>
      </c>
      <c r="E422" s="6" t="s">
        <v>359</v>
      </c>
      <c r="F422" s="6" t="s">
        <v>360</v>
      </c>
    </row>
    <row r="423" customFormat="false" ht="15" hidden="false" customHeight="false" outlineLevel="0" collapsed="false">
      <c r="A423" s="6" t="s">
        <v>1199</v>
      </c>
      <c r="B423" s="6" t="s">
        <v>1235</v>
      </c>
      <c r="C423" s="6" t="s">
        <v>1203</v>
      </c>
      <c r="D423" s="7" t="s">
        <v>1236</v>
      </c>
      <c r="E423" s="6" t="s">
        <v>356</v>
      </c>
      <c r="F423" s="6" t="s">
        <v>360</v>
      </c>
    </row>
    <row r="424" customFormat="false" ht="15" hidden="false" customHeight="false" outlineLevel="0" collapsed="false">
      <c r="A424" s="6" t="s">
        <v>1199</v>
      </c>
      <c r="B424" s="6" t="s">
        <v>1237</v>
      </c>
      <c r="C424" s="6" t="s">
        <v>1203</v>
      </c>
      <c r="D424" s="7" t="s">
        <v>1238</v>
      </c>
      <c r="E424" s="6" t="s">
        <v>356</v>
      </c>
      <c r="F424" s="6" t="s">
        <v>360</v>
      </c>
    </row>
    <row r="425" customFormat="false" ht="15" hidden="false" customHeight="false" outlineLevel="0" collapsed="false">
      <c r="A425" s="6" t="s">
        <v>1199</v>
      </c>
      <c r="B425" s="6" t="s">
        <v>1239</v>
      </c>
      <c r="C425" s="6" t="s">
        <v>1203</v>
      </c>
      <c r="D425" s="7" t="s">
        <v>1240</v>
      </c>
      <c r="E425" s="6" t="s">
        <v>356</v>
      </c>
      <c r="F425" s="6" t="s">
        <v>360</v>
      </c>
    </row>
    <row r="426" customFormat="false" ht="15" hidden="false" customHeight="false" outlineLevel="0" collapsed="false">
      <c r="A426" s="6" t="s">
        <v>1199</v>
      </c>
      <c r="B426" s="6" t="s">
        <v>1241</v>
      </c>
      <c r="C426" s="6" t="s">
        <v>1228</v>
      </c>
      <c r="D426" s="7" t="s">
        <v>1242</v>
      </c>
      <c r="E426" s="6" t="s">
        <v>359</v>
      </c>
      <c r="F426" s="6"/>
    </row>
    <row r="427" customFormat="false" ht="23.85" hidden="false" customHeight="false" outlineLevel="0" collapsed="false">
      <c r="A427" s="6" t="s">
        <v>1199</v>
      </c>
      <c r="B427" s="6" t="s">
        <v>1243</v>
      </c>
      <c r="C427" s="6" t="s">
        <v>1212</v>
      </c>
      <c r="D427" s="7" t="s">
        <v>1244</v>
      </c>
      <c r="E427" s="6" t="s">
        <v>613</v>
      </c>
      <c r="F427" s="6"/>
    </row>
    <row r="428" customFormat="false" ht="15" hidden="false" customHeight="false" outlineLevel="0" collapsed="false">
      <c r="A428" s="6" t="s">
        <v>1199</v>
      </c>
      <c r="B428" s="6" t="s">
        <v>1245</v>
      </c>
      <c r="C428" s="6" t="s">
        <v>1209</v>
      </c>
      <c r="D428" s="7" t="s">
        <v>1246</v>
      </c>
      <c r="E428" s="6" t="s">
        <v>359</v>
      </c>
      <c r="F428" s="6" t="s">
        <v>360</v>
      </c>
    </row>
    <row r="429" customFormat="false" ht="15" hidden="false" customHeight="false" outlineLevel="0" collapsed="false">
      <c r="A429" s="6" t="s">
        <v>1199</v>
      </c>
      <c r="B429" s="6" t="s">
        <v>309</v>
      </c>
      <c r="C429" s="6" t="s">
        <v>1214</v>
      </c>
      <c r="D429" s="7" t="s">
        <v>1247</v>
      </c>
      <c r="E429" s="6" t="s">
        <v>369</v>
      </c>
      <c r="F429" s="6" t="s">
        <v>360</v>
      </c>
    </row>
    <row r="430" customFormat="false" ht="15" hidden="false" customHeight="false" outlineLevel="0" collapsed="false">
      <c r="A430" s="6" t="s">
        <v>1199</v>
      </c>
      <c r="B430" s="6" t="s">
        <v>1248</v>
      </c>
      <c r="C430" s="6" t="s">
        <v>1203</v>
      </c>
      <c r="D430" s="7" t="s">
        <v>330</v>
      </c>
      <c r="E430" s="6" t="s">
        <v>356</v>
      </c>
      <c r="F430" s="6" t="s">
        <v>360</v>
      </c>
    </row>
    <row r="431" customFormat="false" ht="23.85" hidden="false" customHeight="false" outlineLevel="0" collapsed="false">
      <c r="A431" s="6" t="s">
        <v>1199</v>
      </c>
      <c r="B431" s="6" t="s">
        <v>1249</v>
      </c>
      <c r="C431" s="6" t="s">
        <v>1203</v>
      </c>
      <c r="D431" s="7" t="s">
        <v>1250</v>
      </c>
      <c r="E431" s="6" t="s">
        <v>503</v>
      </c>
      <c r="F431" s="6" t="s">
        <v>360</v>
      </c>
    </row>
    <row r="432" customFormat="false" ht="23.85" hidden="false" customHeight="false" outlineLevel="0" collapsed="false">
      <c r="A432" s="6" t="s">
        <v>1199</v>
      </c>
      <c r="B432" s="6" t="s">
        <v>1251</v>
      </c>
      <c r="C432" s="6" t="s">
        <v>1203</v>
      </c>
      <c r="D432" s="7" t="s">
        <v>1252</v>
      </c>
      <c r="E432" s="6" t="s">
        <v>478</v>
      </c>
      <c r="F432" s="6"/>
    </row>
    <row r="433" customFormat="false" ht="15" hidden="false" customHeight="false" outlineLevel="0" collapsed="false">
      <c r="A433" s="6" t="s">
        <v>1199</v>
      </c>
      <c r="B433" s="6" t="s">
        <v>1253</v>
      </c>
      <c r="C433" s="6" t="s">
        <v>1214</v>
      </c>
      <c r="D433" s="7" t="s">
        <v>1254</v>
      </c>
      <c r="E433" s="6" t="s">
        <v>369</v>
      </c>
      <c r="F433" s="6" t="s">
        <v>360</v>
      </c>
    </row>
    <row r="434" customFormat="false" ht="15" hidden="false" customHeight="false" outlineLevel="0" collapsed="false">
      <c r="A434" s="6" t="s">
        <v>1199</v>
      </c>
      <c r="B434" s="6" t="s">
        <v>1255</v>
      </c>
      <c r="C434" s="6" t="s">
        <v>1203</v>
      </c>
      <c r="D434" s="7" t="s">
        <v>1256</v>
      </c>
      <c r="E434" s="6" t="s">
        <v>359</v>
      </c>
      <c r="F434" s="6" t="s">
        <v>360</v>
      </c>
    </row>
    <row r="435" customFormat="false" ht="15" hidden="false" customHeight="false" outlineLevel="0" collapsed="false">
      <c r="A435" s="6" t="s">
        <v>1199</v>
      </c>
      <c r="B435" s="6" t="s">
        <v>1257</v>
      </c>
      <c r="C435" s="6" t="s">
        <v>1214</v>
      </c>
      <c r="D435" s="7" t="s">
        <v>1258</v>
      </c>
      <c r="E435" s="6" t="s">
        <v>359</v>
      </c>
      <c r="F435" s="6" t="s">
        <v>360</v>
      </c>
    </row>
    <row r="436" customFormat="false" ht="15" hidden="false" customHeight="false" outlineLevel="0" collapsed="false">
      <c r="A436" s="6" t="s">
        <v>1199</v>
      </c>
      <c r="B436" s="6" t="s">
        <v>277</v>
      </c>
      <c r="C436" s="6" t="s">
        <v>1203</v>
      </c>
      <c r="D436" s="7" t="s">
        <v>279</v>
      </c>
      <c r="E436" s="6" t="s">
        <v>359</v>
      </c>
      <c r="F436" s="6" t="s">
        <v>360</v>
      </c>
    </row>
    <row r="437" customFormat="false" ht="15" hidden="false" customHeight="false" outlineLevel="0" collapsed="false">
      <c r="A437" s="6" t="s">
        <v>1259</v>
      </c>
      <c r="B437" s="6" t="s">
        <v>1260</v>
      </c>
      <c r="C437" s="6" t="s">
        <v>1261</v>
      </c>
      <c r="D437" s="7" t="s">
        <v>338</v>
      </c>
      <c r="E437" s="6" t="s">
        <v>1262</v>
      </c>
      <c r="F437" s="6" t="s">
        <v>360</v>
      </c>
    </row>
    <row r="438" customFormat="false" ht="15" hidden="false" customHeight="false" outlineLevel="0" collapsed="false">
      <c r="A438" s="6" t="s">
        <v>1259</v>
      </c>
      <c r="B438" s="6" t="s">
        <v>1263</v>
      </c>
      <c r="C438" s="6" t="s">
        <v>1261</v>
      </c>
      <c r="D438" s="7" t="s">
        <v>338</v>
      </c>
      <c r="E438" s="6" t="s">
        <v>1262</v>
      </c>
      <c r="F438" s="6"/>
    </row>
    <row r="439" customFormat="false" ht="23.85" hidden="false" customHeight="false" outlineLevel="0" collapsed="false">
      <c r="A439" s="6" t="s">
        <v>1259</v>
      </c>
      <c r="B439" s="6" t="s">
        <v>1264</v>
      </c>
      <c r="C439" s="6" t="s">
        <v>1261</v>
      </c>
      <c r="D439" s="7" t="s">
        <v>1265</v>
      </c>
      <c r="E439" s="6" t="s">
        <v>613</v>
      </c>
      <c r="F439" s="6" t="s">
        <v>360</v>
      </c>
    </row>
    <row r="440" customFormat="false" ht="15" hidden="false" customHeight="false" outlineLevel="0" collapsed="false">
      <c r="A440" s="6" t="s">
        <v>1259</v>
      </c>
      <c r="B440" s="6" t="s">
        <v>1266</v>
      </c>
      <c r="C440" s="6" t="s">
        <v>1261</v>
      </c>
      <c r="D440" s="7" t="s">
        <v>1267</v>
      </c>
      <c r="E440" s="6" t="s">
        <v>369</v>
      </c>
      <c r="F440" s="6" t="s">
        <v>360</v>
      </c>
    </row>
    <row r="441" customFormat="false" ht="23.85" hidden="false" customHeight="false" outlineLevel="0" collapsed="false">
      <c r="A441" s="6" t="s">
        <v>1259</v>
      </c>
      <c r="B441" s="6" t="s">
        <v>1268</v>
      </c>
      <c r="C441" s="6" t="s">
        <v>1261</v>
      </c>
      <c r="D441" s="7" t="s">
        <v>1269</v>
      </c>
      <c r="E441" s="6" t="s">
        <v>503</v>
      </c>
      <c r="F441" s="6" t="s">
        <v>360</v>
      </c>
    </row>
    <row r="442" customFormat="false" ht="23.85" hidden="false" customHeight="false" outlineLevel="0" collapsed="false">
      <c r="A442" s="6" t="s">
        <v>1259</v>
      </c>
      <c r="B442" s="6" t="s">
        <v>1270</v>
      </c>
      <c r="C442" s="6" t="s">
        <v>1261</v>
      </c>
      <c r="D442" s="7" t="s">
        <v>1271</v>
      </c>
      <c r="E442" s="6" t="s">
        <v>613</v>
      </c>
      <c r="F442" s="6" t="s">
        <v>360</v>
      </c>
    </row>
    <row r="443" customFormat="false" ht="23.85" hidden="false" customHeight="false" outlineLevel="0" collapsed="false">
      <c r="A443" s="6" t="s">
        <v>1259</v>
      </c>
      <c r="B443" s="6" t="s">
        <v>1272</v>
      </c>
      <c r="C443" s="6" t="s">
        <v>1261</v>
      </c>
      <c r="D443" s="7" t="s">
        <v>1273</v>
      </c>
      <c r="E443" s="6" t="s">
        <v>613</v>
      </c>
      <c r="F443" s="6"/>
    </row>
    <row r="444" customFormat="false" ht="23.85" hidden="false" customHeight="false" outlineLevel="0" collapsed="false">
      <c r="A444" s="6" t="s">
        <v>1259</v>
      </c>
      <c r="B444" s="6" t="s">
        <v>1274</v>
      </c>
      <c r="C444" s="6" t="s">
        <v>1261</v>
      </c>
      <c r="D444" s="7" t="s">
        <v>1275</v>
      </c>
      <c r="E444" s="6" t="s">
        <v>613</v>
      </c>
      <c r="F444" s="6" t="s">
        <v>360</v>
      </c>
    </row>
    <row r="445" customFormat="false" ht="23.85" hidden="false" customHeight="false" outlineLevel="0" collapsed="false">
      <c r="A445" s="6" t="s">
        <v>1259</v>
      </c>
      <c r="B445" s="6" t="s">
        <v>1276</v>
      </c>
      <c r="C445" s="6" t="s">
        <v>1261</v>
      </c>
      <c r="D445" s="7" t="s">
        <v>1277</v>
      </c>
      <c r="E445" s="6" t="s">
        <v>613</v>
      </c>
      <c r="F445" s="6"/>
    </row>
    <row r="446" customFormat="false" ht="15" hidden="false" customHeight="false" outlineLevel="0" collapsed="false">
      <c r="A446" s="6" t="s">
        <v>1278</v>
      </c>
      <c r="B446" s="6" t="s">
        <v>1279</v>
      </c>
      <c r="C446" s="6" t="s">
        <v>1280</v>
      </c>
      <c r="D446" s="7" t="s">
        <v>1281</v>
      </c>
      <c r="E446" s="6" t="s">
        <v>359</v>
      </c>
      <c r="F446" s="6" t="s">
        <v>360</v>
      </c>
    </row>
    <row r="447" customFormat="false" ht="15" hidden="false" customHeight="false" outlineLevel="0" collapsed="false">
      <c r="A447" s="6" t="s">
        <v>1278</v>
      </c>
      <c r="B447" s="6" t="s">
        <v>1282</v>
      </c>
      <c r="C447" s="6" t="s">
        <v>1280</v>
      </c>
      <c r="D447" s="7" t="s">
        <v>1283</v>
      </c>
      <c r="E447" s="6" t="s">
        <v>356</v>
      </c>
      <c r="F447" s="6" t="s">
        <v>360</v>
      </c>
    </row>
    <row r="448" customFormat="false" ht="23.85" hidden="false" customHeight="false" outlineLevel="0" collapsed="false">
      <c r="A448" s="6" t="s">
        <v>1278</v>
      </c>
      <c r="B448" s="6" t="s">
        <v>1284</v>
      </c>
      <c r="C448" s="6" t="s">
        <v>1280</v>
      </c>
      <c r="D448" s="7" t="s">
        <v>1285</v>
      </c>
      <c r="E448" s="6" t="s">
        <v>691</v>
      </c>
      <c r="F448" s="6"/>
    </row>
    <row r="449" customFormat="false" ht="15" hidden="false" customHeight="false" outlineLevel="0" collapsed="false">
      <c r="A449" s="6" t="s">
        <v>1278</v>
      </c>
      <c r="B449" s="6" t="s">
        <v>1286</v>
      </c>
      <c r="C449" s="6" t="s">
        <v>1280</v>
      </c>
      <c r="D449" s="7" t="s">
        <v>1287</v>
      </c>
      <c r="E449" s="6" t="s">
        <v>369</v>
      </c>
      <c r="F449" s="6"/>
    </row>
    <row r="450" customFormat="false" ht="15" hidden="false" customHeight="false" outlineLevel="0" collapsed="false">
      <c r="A450" s="6" t="s">
        <v>1278</v>
      </c>
      <c r="B450" s="6" t="s">
        <v>1288</v>
      </c>
      <c r="C450" s="6" t="s">
        <v>1280</v>
      </c>
      <c r="D450" s="7" t="s">
        <v>1289</v>
      </c>
      <c r="E450" s="6" t="s">
        <v>359</v>
      </c>
      <c r="F450" s="6" t="s">
        <v>360</v>
      </c>
    </row>
    <row r="451" customFormat="false" ht="15" hidden="false" customHeight="false" outlineLevel="0" collapsed="false">
      <c r="A451" s="6" t="s">
        <v>1278</v>
      </c>
      <c r="B451" s="6" t="s">
        <v>1290</v>
      </c>
      <c r="C451" s="6" t="s">
        <v>1280</v>
      </c>
      <c r="D451" s="7" t="s">
        <v>1291</v>
      </c>
      <c r="E451" s="6" t="s">
        <v>356</v>
      </c>
      <c r="F451" s="6"/>
    </row>
    <row r="452" customFormat="false" ht="15" hidden="false" customHeight="false" outlineLevel="0" collapsed="false">
      <c r="A452" s="6" t="s">
        <v>1278</v>
      </c>
      <c r="B452" s="6" t="s">
        <v>1292</v>
      </c>
      <c r="C452" s="6" t="s">
        <v>1280</v>
      </c>
      <c r="D452" s="7" t="s">
        <v>1293</v>
      </c>
      <c r="E452" s="6" t="s">
        <v>356</v>
      </c>
      <c r="F452" s="6"/>
    </row>
    <row r="453" customFormat="false" ht="15" hidden="false" customHeight="false" outlineLevel="0" collapsed="false">
      <c r="A453" s="6" t="s">
        <v>1278</v>
      </c>
      <c r="B453" s="6" t="s">
        <v>1294</v>
      </c>
      <c r="C453" s="6" t="s">
        <v>1280</v>
      </c>
      <c r="D453" s="7" t="s">
        <v>1295</v>
      </c>
      <c r="E453" s="6" t="s">
        <v>369</v>
      </c>
      <c r="F453" s="6"/>
    </row>
    <row r="454" customFormat="false" ht="15" hidden="false" customHeight="false" outlineLevel="0" collapsed="false">
      <c r="A454" s="6" t="s">
        <v>1278</v>
      </c>
      <c r="B454" s="6" t="s">
        <v>1296</v>
      </c>
      <c r="C454" s="6" t="s">
        <v>1280</v>
      </c>
      <c r="D454" s="7" t="s">
        <v>1297</v>
      </c>
      <c r="E454" s="6" t="s">
        <v>359</v>
      </c>
      <c r="F454" s="6" t="s">
        <v>360</v>
      </c>
    </row>
    <row r="455" customFormat="false" ht="15" hidden="false" customHeight="false" outlineLevel="0" collapsed="false">
      <c r="A455" s="6" t="s">
        <v>1278</v>
      </c>
      <c r="B455" s="6" t="s">
        <v>1298</v>
      </c>
      <c r="C455" s="6" t="s">
        <v>1280</v>
      </c>
      <c r="D455" s="7" t="s">
        <v>1299</v>
      </c>
      <c r="E455" s="6" t="s">
        <v>359</v>
      </c>
      <c r="F455" s="6" t="s">
        <v>360</v>
      </c>
    </row>
    <row r="456" customFormat="false" ht="15" hidden="false" customHeight="false" outlineLevel="0" collapsed="false">
      <c r="A456" s="6" t="s">
        <v>1278</v>
      </c>
      <c r="B456" s="6" t="s">
        <v>1300</v>
      </c>
      <c r="C456" s="6" t="s">
        <v>1280</v>
      </c>
      <c r="D456" s="7" t="s">
        <v>1301</v>
      </c>
      <c r="E456" s="6" t="s">
        <v>359</v>
      </c>
      <c r="F456" s="6"/>
    </row>
    <row r="457" customFormat="false" ht="15" hidden="false" customHeight="false" outlineLevel="0" collapsed="false">
      <c r="A457" s="6" t="s">
        <v>1302</v>
      </c>
      <c r="B457" s="6" t="s">
        <v>1303</v>
      </c>
      <c r="C457" s="6" t="s">
        <v>1304</v>
      </c>
      <c r="D457" s="7" t="s">
        <v>1305</v>
      </c>
      <c r="E457" s="6" t="s">
        <v>359</v>
      </c>
      <c r="F457" s="6" t="s">
        <v>360</v>
      </c>
    </row>
    <row r="458" customFormat="false" ht="15" hidden="false" customHeight="false" outlineLevel="0" collapsed="false">
      <c r="A458" s="6" t="s">
        <v>1302</v>
      </c>
      <c r="B458" s="6" t="s">
        <v>1306</v>
      </c>
      <c r="C458" s="6" t="s">
        <v>1304</v>
      </c>
      <c r="D458" s="7" t="s">
        <v>1307</v>
      </c>
      <c r="E458" s="6" t="s">
        <v>356</v>
      </c>
      <c r="F458" s="6" t="s">
        <v>360</v>
      </c>
    </row>
    <row r="459" customFormat="false" ht="23.85" hidden="false" customHeight="false" outlineLevel="0" collapsed="false">
      <c r="A459" s="6" t="s">
        <v>1302</v>
      </c>
      <c r="B459" s="6" t="s">
        <v>1308</v>
      </c>
      <c r="C459" s="6" t="s">
        <v>1304</v>
      </c>
      <c r="D459" s="7" t="s">
        <v>1309</v>
      </c>
      <c r="E459" s="6" t="s">
        <v>503</v>
      </c>
      <c r="F459" s="6" t="s">
        <v>360</v>
      </c>
    </row>
    <row r="460" customFormat="false" ht="15" hidden="false" customHeight="false" outlineLevel="0" collapsed="false">
      <c r="A460" s="6" t="s">
        <v>1302</v>
      </c>
      <c r="B460" s="6" t="s">
        <v>1310</v>
      </c>
      <c r="C460" s="6" t="s">
        <v>1304</v>
      </c>
      <c r="D460" s="7" t="s">
        <v>1311</v>
      </c>
      <c r="E460" s="6" t="s">
        <v>356</v>
      </c>
      <c r="F460" s="6" t="s">
        <v>360</v>
      </c>
    </row>
    <row r="461" customFormat="false" ht="15" hidden="false" customHeight="false" outlineLevel="0" collapsed="false">
      <c r="A461" s="6" t="s">
        <v>1302</v>
      </c>
      <c r="B461" s="6" t="s">
        <v>1312</v>
      </c>
      <c r="C461" s="6" t="s">
        <v>1304</v>
      </c>
      <c r="D461" s="7" t="s">
        <v>1313</v>
      </c>
      <c r="E461" s="6" t="s">
        <v>356</v>
      </c>
      <c r="F461" s="6" t="s">
        <v>360</v>
      </c>
    </row>
    <row r="462" customFormat="false" ht="15" hidden="false" customHeight="false" outlineLevel="0" collapsed="false">
      <c r="A462" s="6" t="s">
        <v>1302</v>
      </c>
      <c r="B462" s="6" t="s">
        <v>1314</v>
      </c>
      <c r="C462" s="6" t="s">
        <v>1304</v>
      </c>
      <c r="D462" s="7" t="s">
        <v>1315</v>
      </c>
      <c r="E462" s="6" t="s">
        <v>359</v>
      </c>
      <c r="F462" s="6" t="s">
        <v>360</v>
      </c>
    </row>
    <row r="463" customFormat="false" ht="15" hidden="false" customHeight="false" outlineLevel="0" collapsed="false">
      <c r="A463" s="6" t="s">
        <v>1302</v>
      </c>
      <c r="B463" s="6" t="s">
        <v>1316</v>
      </c>
      <c r="C463" s="6" t="s">
        <v>1304</v>
      </c>
      <c r="D463" s="7" t="s">
        <v>1317</v>
      </c>
      <c r="E463" s="6" t="s">
        <v>1080</v>
      </c>
      <c r="F463" s="6" t="s">
        <v>360</v>
      </c>
    </row>
    <row r="464" customFormat="false" ht="23.85" hidden="false" customHeight="false" outlineLevel="0" collapsed="false">
      <c r="A464" s="6" t="s">
        <v>1302</v>
      </c>
      <c r="B464" s="6" t="s">
        <v>1318</v>
      </c>
      <c r="C464" s="6" t="s">
        <v>1304</v>
      </c>
      <c r="D464" s="7" t="s">
        <v>1319</v>
      </c>
      <c r="E464" s="6" t="s">
        <v>613</v>
      </c>
      <c r="F464" s="6" t="s">
        <v>360</v>
      </c>
    </row>
    <row r="465" customFormat="false" ht="15" hidden="false" customHeight="false" outlineLevel="0" collapsed="false">
      <c r="A465" s="6" t="s">
        <v>1302</v>
      </c>
      <c r="B465" s="6" t="s">
        <v>1320</v>
      </c>
      <c r="C465" s="6" t="s">
        <v>1304</v>
      </c>
      <c r="D465" s="7" t="s">
        <v>1321</v>
      </c>
      <c r="E465" s="6" t="s">
        <v>356</v>
      </c>
      <c r="F465" s="6" t="s">
        <v>360</v>
      </c>
    </row>
    <row r="466" customFormat="false" ht="15" hidden="false" customHeight="false" outlineLevel="0" collapsed="false">
      <c r="A466" s="6" t="s">
        <v>1302</v>
      </c>
      <c r="B466" s="6" t="s">
        <v>1322</v>
      </c>
      <c r="C466" s="6" t="s">
        <v>1323</v>
      </c>
      <c r="D466" s="7" t="s">
        <v>1324</v>
      </c>
      <c r="E466" s="6" t="s">
        <v>1080</v>
      </c>
      <c r="F466" s="6" t="s">
        <v>360</v>
      </c>
    </row>
    <row r="467" customFormat="false" ht="23.85" hidden="false" customHeight="false" outlineLevel="0" collapsed="false">
      <c r="A467" s="6" t="s">
        <v>1302</v>
      </c>
      <c r="B467" s="6" t="s">
        <v>1325</v>
      </c>
      <c r="C467" s="6" t="s">
        <v>1304</v>
      </c>
      <c r="D467" s="7" t="s">
        <v>1326</v>
      </c>
      <c r="E467" s="6" t="s">
        <v>613</v>
      </c>
      <c r="F467" s="6" t="s">
        <v>360</v>
      </c>
    </row>
    <row r="468" customFormat="false" ht="15" hidden="false" customHeight="false" outlineLevel="0" collapsed="false">
      <c r="A468" s="6" t="s">
        <v>1302</v>
      </c>
      <c r="B468" s="6" t="s">
        <v>1327</v>
      </c>
      <c r="C468" s="6" t="s">
        <v>1304</v>
      </c>
      <c r="D468" s="7" t="s">
        <v>1328</v>
      </c>
      <c r="E468" s="6" t="s">
        <v>359</v>
      </c>
      <c r="F468" s="6" t="s">
        <v>360</v>
      </c>
    </row>
    <row r="469" customFormat="false" ht="15" hidden="false" customHeight="false" outlineLevel="0" collapsed="false">
      <c r="A469" s="6" t="s">
        <v>1302</v>
      </c>
      <c r="B469" s="6" t="s">
        <v>1329</v>
      </c>
      <c r="C469" s="6" t="s">
        <v>1304</v>
      </c>
      <c r="D469" s="7" t="s">
        <v>1020</v>
      </c>
      <c r="E469" s="6" t="s">
        <v>356</v>
      </c>
      <c r="F469" s="6" t="s">
        <v>360</v>
      </c>
    </row>
    <row r="470" customFormat="false" ht="15" hidden="false" customHeight="false" outlineLevel="0" collapsed="false">
      <c r="A470" s="6" t="s">
        <v>1302</v>
      </c>
      <c r="B470" s="6" t="s">
        <v>1330</v>
      </c>
      <c r="C470" s="6" t="s">
        <v>1304</v>
      </c>
      <c r="D470" s="7" t="s">
        <v>1331</v>
      </c>
      <c r="E470" s="6" t="s">
        <v>356</v>
      </c>
      <c r="F470" s="6" t="s">
        <v>360</v>
      </c>
    </row>
    <row r="471" customFormat="false" ht="15" hidden="false" customHeight="false" outlineLevel="0" collapsed="false">
      <c r="A471" s="6" t="s">
        <v>1302</v>
      </c>
      <c r="B471" s="6" t="s">
        <v>1332</v>
      </c>
      <c r="C471" s="6" t="s">
        <v>1304</v>
      </c>
      <c r="D471" s="7" t="s">
        <v>1333</v>
      </c>
      <c r="E471" s="6" t="s">
        <v>356</v>
      </c>
      <c r="F471" s="6" t="s">
        <v>360</v>
      </c>
    </row>
    <row r="472" customFormat="false" ht="15" hidden="false" customHeight="false" outlineLevel="0" collapsed="false">
      <c r="A472" s="6" t="s">
        <v>1302</v>
      </c>
      <c r="B472" s="6" t="s">
        <v>1334</v>
      </c>
      <c r="C472" s="6" t="s">
        <v>1304</v>
      </c>
      <c r="D472" s="7" t="s">
        <v>1335</v>
      </c>
      <c r="E472" s="6" t="s">
        <v>359</v>
      </c>
      <c r="F472" s="6" t="s">
        <v>360</v>
      </c>
    </row>
    <row r="473" customFormat="false" ht="23.85" hidden="false" customHeight="false" outlineLevel="0" collapsed="false">
      <c r="A473" s="6" t="s">
        <v>1302</v>
      </c>
      <c r="B473" s="6" t="s">
        <v>1336</v>
      </c>
      <c r="C473" s="6" t="s">
        <v>1304</v>
      </c>
      <c r="D473" s="7" t="s">
        <v>1337</v>
      </c>
      <c r="E473" s="6" t="s">
        <v>691</v>
      </c>
      <c r="F473" s="6"/>
    </row>
    <row r="474" customFormat="false" ht="15" hidden="false" customHeight="false" outlineLevel="0" collapsed="false">
      <c r="A474" s="6" t="s">
        <v>1302</v>
      </c>
      <c r="B474" s="6" t="s">
        <v>1338</v>
      </c>
      <c r="C474" s="6" t="s">
        <v>1304</v>
      </c>
      <c r="D474" s="7" t="s">
        <v>1339</v>
      </c>
      <c r="E474" s="6" t="s">
        <v>356</v>
      </c>
      <c r="F474" s="6" t="s">
        <v>360</v>
      </c>
    </row>
  </sheetData>
  <autoFilter ref="A1:F474"/>
  <hyperlinks>
    <hyperlink ref="D2" r:id="rId1" display="https://extranet.acer.europa.eu/Events"/>
    <hyperlink ref="D3" r:id="rId2" display="https://www.berec.europa.eu/en/events"/>
    <hyperlink ref="D4" r:id="rId3" display="https://www.cedefop.europa.eu/en/events"/>
    <hyperlink ref="D5" r:id="rId4" display="https://www.cepol.europa.eu/education-training/what-we-teach/residential-activities"/>
    <hyperlink ref="D6" r:id="rId5" display="https://www.clean-hydrogen.europa.eu/media/events_en"/>
    <hyperlink ref="D7" r:id="rId6" display="https://www.consilium.europa.eu/en/meetings/calendar/"/>
    <hyperlink ref="D8" r:id="rId7" display="https://irish-presidency.consilium.europa.eu/en/events/"/>
    <hyperlink ref="D9" r:id="rId8" display="https://eu-mayors.ec.europa.eu/en/events"/>
    <hyperlink ref="D10" r:id="rId9" display="https://agriculture.ec.europa.eu/events_en"/>
    <hyperlink ref="D11" r:id="rId10" display="https://climate.ec.europa.eu/news-your-voice/events_en"/>
    <hyperlink ref="D12" r:id="rId11" display="https://competition-policy.ec.europa.eu/about/reaching-out_en"/>
    <hyperlink ref="D13" r:id="rId12" display="https://digital-strategy.ec.europa.eu/en/events"/>
    <hyperlink ref="D14" r:id="rId13" display="https://defence-industry-space.ec.europa.eu/newsroom/events_en"/>
    <hyperlink ref="D15" r:id="rId14" display="https://education.ec.europa.eu/events"/>
    <hyperlink ref="D16" r:id="rId15" display="https://economy-finance.ec.europa.eu/events_en"/>
    <hyperlink ref="D17" r:id="rId16" display="https://employment-social-affairs.ec.europa.eu/events_en"/>
    <hyperlink ref="D18" r:id="rId17" display="https://energy.ec.europa.eu/events_en"/>
    <hyperlink ref="D19" r:id="rId18" display="https://environment.ec.europa.eu/events_en"/>
    <hyperlink ref="D20" r:id="rId19" display="https://finance.ec.europa.eu/events_en"/>
    <hyperlink ref="D21" r:id="rId20" display="https://food.ec.europa.eu/events_en"/>
    <hyperlink ref="D22" r:id="rId21" display="https://single-market-economy.ec.europa.eu/events_en"/>
    <hyperlink ref="D23" r:id="rId22" display="https://home-affairs.ec.europa.eu/events_en"/>
    <hyperlink ref="D24" r:id="rId23" display="https://international-partnerships.ec.europa.eu/news-and-events/events_en"/>
    <hyperlink ref="D25" r:id="rId24" display="https://commission.europa.eu/get-involved/events_en"/>
    <hyperlink ref="D26" r:id="rId25" display="https://oceans-and-fisheries.ec.europa.eu/events_en"/>
    <hyperlink ref="D27" r:id="rId26" display="https://transport.ec.europa.eu/news-events/events_en"/>
    <hyperlink ref="D28" r:id="rId27" display="https://commission.europa.eu/get-involved/events_en"/>
    <hyperlink ref="D29" r:id="rId28" display="https://research-and-innovation.ec.europa.eu/events_en"/>
    <hyperlink ref="D30" r:id="rId29" display="https://health.ec.europa.eu/events_en"/>
    <hyperlink ref="D31" r:id="rId30" display="https://taxation-customs.ec.europa.eu/events_en"/>
    <hyperlink ref="D32" r:id="rId31" display="https://policy.trade.ec.europa.eu/events_en"/>
    <hyperlink ref="D33" r:id="rId32" display="https://www.eiopa.europa.eu/media/events_en"/>
    <hyperlink ref="D34" r:id="rId33" display="https://www.eitfood.eu/events"/>
    <hyperlink ref="D35" r:id="rId34" display="https://www.enisa.europa.eu/events"/>
    <hyperlink ref="D36" r:id="rId35" display="https://www.esma.europa.eu/press-news/esma-events"/>
    <hyperlink ref="D37" r:id="rId36" display="https://fra.europa.eu/en/events"/>
    <hyperlink ref="D38" r:id="rId37" display="https://www.iss.europa.eu/activities/events"/>
    <hyperlink ref="D39" r:id="rId38" display="https://op.europa.eu/en/web/about-us/events"/>
    <hyperlink ref="D40" r:id="rId39" display="https://research-innovation-community.ec.europa.eu/events"/>
    <hyperlink ref="D41" r:id="rId40" display="https://www.eurofound.europa.eu/en/events"/>
    <hyperlink ref="D42" r:id="rId41" display="https://www.eba.europa.eu/publications-and-media/events"/>
    <hyperlink ref="D43" r:id="rId42" display="https://www.ecb.europa.eu/press/conferences/html/index.en.html"/>
    <hyperlink ref="D44" r:id="rId43" display="https://echa.europa.eu/news-and-events/events"/>
    <hyperlink ref="D45" r:id="rId44" display="https://commission.europa.eu/get-involved/events_en"/>
    <hyperlink ref="D46" r:id="rId45" display="https://belgium.representation.ec.europa.eu/news-and-events/events_fr"/>
    <hyperlink ref="D47" r:id="rId46" display="https://cor.europa.eu/en/events"/>
    <hyperlink ref="D48" r:id="rId47" display="https://www.eca.europa.eu/en/events"/>
    <hyperlink ref="D49" r:id="rId48" display="https://www.edps.europa.eu/press-publications/events_en"/>
    <hyperlink ref="D50" r:id="rId49" display="https://eda.europa.eu/news-and-events/events"/>
    <hyperlink ref="D51" r:id="rId50" display="https://www.eesc.europa.eu/en/agenda"/>
    <hyperlink ref="D52" r:id="rId51" display="https://www.eea.europa.eu/en/newsroom/events"/>
    <hyperlink ref="D53" r:id="rId52" display="https://www.eeas.europa.eu/eeas/events_en"/>
    <hyperlink ref="D54" r:id="rId53" display="https://www.efsa.europa.eu/en/events"/>
    <hyperlink ref="D55" r:id="rId54" display="https://eic.ec.europa.eu/events_en"/>
    <hyperlink ref="D56" r:id="rId55" display="https://www.eib.org/en/events/index"/>
    <hyperlink ref="D57" r:id="rId56" display="https://www.ela.europa.eu/en/events"/>
    <hyperlink ref="D58" r:id="rId57" display="https://www.ema.europa.eu/en/news-events"/>
    <hyperlink ref="D59" r:id="rId58" display="https://www.ombudsman.europa.eu/en/events"/>
    <hyperlink ref="D60" r:id="rId59" display="https://www.europarl.europa.eu/news/en/agenda"/>
    <hyperlink ref="D61" r:id="rId60" display="https://www.europarl.europa.eu/belgium/fr/actualites-activites"/>
    <hyperlink ref="D62" r:id="rId61" display="https://www.europarl.europa.eu/thinktank/en/events"/>
    <hyperlink ref="D63" r:id="rId62" display="https://www.europol.europa.eu/events"/>
    <hyperlink ref="D64" r:id="rId63" display="https://commission.europa.eu/get-involved/events_en"/>
    <hyperlink ref="D65" r:id="rId64" display="https://historia.europa.eu/en/exhibitions-events/events"/>
    <hyperlink ref="D66" r:id="rId65" display="https://joint-research-centre.ec.europa.eu/events_en"/>
    <hyperlink ref="D67" r:id="rId66" display="https://ruralpact.rural-vision.europa.eu/events_en"/>
    <hyperlink ref="D68" r:id="rId67" display="https://www.sesarju.eu/events"/>
    <hyperlink ref="D69" r:id="rId68" display="https://www.aldeparty.eu/events"/>
    <hyperlink ref="D70" r:id="rId69" display="https://coppietersfoundation.eu/activities/event/"/>
    <hyperlink ref="D71" r:id="rId70" display="https://ecrgroup.eu/events"/>
    <hyperlink ref="D72" r:id="rId71" display="https://www.eppgroup.eu/newsroom/events"/>
    <hyperlink ref="D73" r:id="rId72" display="https://esn-group.eu/"/>
    <hyperlink ref="D74" r:id="rId73" display="https://democrats.eu/events/"/>
    <hyperlink ref="D75" r:id="rId74" display="https://europeangreens.eu/events/"/>
    <hyperlink ref="D76" r:id="rId75" display="https://liberalforum.eu/events/"/>
    <hyperlink ref="D77" r:id="rId76" display="https://www.epp.eu/events"/>
    <hyperlink ref="D78" r:id="rId77" display="https://feps-europe.eu/upcoming-events/"/>
    <hyperlink ref="D79" r:id="rId78" display="https://www.jean-jaures.org/evenements/"/>
    <hyperlink ref="D80" r:id="rId79" display="https://brussels.fes.de/events"/>
    <hyperlink ref="D81" r:id="rId80" display="https://www.freiheit.org/european-union"/>
    <hyperlink ref="D82" r:id="rId81" display="https://gef.eu/events/"/>
    <hyperlink ref="D83" r:id="rId82" display="https://www.greens-efa.eu/en/get-involved/our-events"/>
    <hyperlink ref="D84" r:id="rId83" display="https://www.hss.de/en/"/>
    <hyperlink ref="D85" r:id="rId84" display="https://eu.boell.org/en/events"/>
    <hyperlink ref="D86" r:id="rId85" display="https://www.iedonline.eu/events"/>
    <hyperlink ref="D87" r:id="rId86" display="https://www.kas.de/en/web/europa"/>
    <hyperlink ref="D88" r:id="rId87" display="https://newdirection.online/events"/>
    <hyperlink ref="D89" r:id="rId88" display="https://democrats.eu/events/"/>
    <hyperlink ref="D90" r:id="rId89" display="https://pes.eu/events/"/>
    <hyperlink ref="D91" r:id="rId90" display="https://patriotsforeurope.eu/"/>
    <hyperlink ref="D92" r:id="rId91" display="https://www.reneweuropegroup.eu/events"/>
    <hyperlink ref="D93" r:id="rId92" display="https://www.rosalux.eu/en/events"/>
    <hyperlink ref="D94" r:id="rId93" display="https://www.socialistsanddemocrats.eu/latest/type/event"/>
    <hyperlink ref="D95" r:id="rId94" display="https://left.eu/events/"/>
    <hyperlink ref="D96" r:id="rId95" display="https://transform-network.net/event/"/>
    <hyperlink ref="D97" r:id="rId96" display="https://voltbelgium.org/events"/>
    <hyperlink ref="D98" r:id="rId97" display="https://www.martenscentre.eu/events/"/>
    <hyperlink ref="D99" r:id="rId98" display="https://www.agora-energiewende.org/events"/>
    <hyperlink ref="D100" r:id="rId99" display="https://www.atlanticcouncil.org/events/"/>
    <hyperlink ref="D101" r:id="rId100" display="https://www.bertelsmann-stiftung.de/en/our-projects/brussels-office"/>
    <hyperlink ref="D102" r:id="rId101" display="https://www.bpie.eu/events/"/>
    <hyperlink ref="D103" r:id="rId102" display="https://www.bruegel.org/events"/>
    <hyperlink ref="D104" r:id="rId103" display="https://big-europe.eu/events"/>
    <hyperlink ref="D105" r:id="rId104" display="https://brussels-school.be/events"/>
    <hyperlink ref="D106" r:id="rId105" display="https://carnegieendowment.org/europe/events"/>
    <hyperlink ref="D107" r:id="rId106" display="https://www.cep.eu/en/events.html"/>
    <hyperlink ref="D108" r:id="rId107" display="https://www.cer.eu/events"/>
    <hyperlink ref="D109" r:id="rId108" display="https://cepr.org/events"/>
    <hyperlink ref="D110" r:id="rId109" display="https://www.ceps.eu/ceps-events/?filter_state=upcoming"/>
    <hyperlink ref="D111" r:id="rId110" display="https://cerre.eu/events/"/>
    <hyperlink ref="D112" r:id="rId111" display="https://www.chathamhouse.org/events"/>
    <hyperlink ref="D113" r:id="rId112" display="https://www.catf.us/events/"/>
    <hyperlink ref="D114" r:id="rId113" display="https://www.clingendael.org/events"/>
    <hyperlink ref="D115" r:id="rId114" display="https://www.coleurope.eu/events"/>
    <hyperlink ref="D116" r:id="rId115" display="https://confrontations.org/agenda/"/>
    <hyperlink ref="D117" r:id="rId116" display="https://www.csis.org/events"/>
    <hyperlink ref="D118" r:id="rId117" display="https://www.e3g.org/events/"/>
    <hyperlink ref="D119" r:id="rId118" display="https://ecdpm.org/events"/>
    <hyperlink ref="D120" r:id="rId119" display="https://ecfr.eu/events/"/>
    <hyperlink ref="D121" r:id="rId120" display="https://ecipe.org/events/"/>
    <hyperlink ref="D122" r:id="rId121" display="https://www.eera-set.eu/events.html"/>
    <hyperlink ref="D123" r:id="rId122" display="https://www.egmontinstitute.be/events/"/>
    <hyperlink ref="D124" r:id="rId123" display="https://eias.org/events/"/>
    <hyperlink ref="D125" r:id="rId124" display="https://www.realinstitutoelcano.org/en/events/"/>
    <hyperlink ref="D126" r:id="rId125" display="https://ember-energy.org/events/"/>
    <hyperlink ref="D127" r:id="rId126" display="https://www.epicenternetwork.eu/events/"/>
    <hyperlink ref="D128" r:id="rId127" display="https://www.era.int/events/"/>
    <hyperlink ref="D129" r:id="rId128" display="https://www.eu-asiacentre.eu/"/>
    <hyperlink ref="D130" r:id="rId129" display="https://fsr.eui.eu/events/"/>
    <hyperlink ref="D131" r:id="rId130" display="https://eurogoos.eu/events/"/>
    <hyperlink ref="D132" r:id="rId131" display="https://efi.int/events"/>
    <hyperlink ref="D133" r:id="rId132" display="https://www.marineboard.eu/events"/>
    <hyperlink ref="D134" r:id="rId133" display="https://www.epc.eu/en/events"/>
    <hyperlink ref="D135" r:id="rId134" display="https://epicouncil.eu/"/>
    <hyperlink ref="D136" r:id="rId135" display="https://www.europeum.org/en/events"/>
    <hyperlink ref="D137" r:id="rId136" display="https://www.farm-europe.eu/events/"/>
    <hyperlink ref="D138" r:id="rId137" display="https://www.robert-schuman.eu/en/agenda"/>
    <hyperlink ref="D139" r:id="rId138" display="https://fpc.org.uk/events/"/>
    <hyperlink ref="D140" r:id="rId139" display="https://www.friendsofeurope.org/events/"/>
    <hyperlink ref="D141" r:id="rId140" display="https://fpf.org/fpf-events/upcoming/"/>
    <hyperlink ref="D142" r:id="rId141" display="https://www.gmfus.org/events"/>
    <hyperlink ref="D143" r:id="rId142" display="https://www.coleurope.eu/research/global-competition-law-centre-gclc"/>
    <hyperlink ref="D144" r:id="rId143" display="https://www.eui.eu/events"/>
    <hyperlink ref="D145" r:id="rId144" display="https://www.iai.it/en/eventi"/>
    <hyperlink ref="D146" r:id="rId145" display="https://icds.ee/en/"/>
    <hyperlink ref="D147" r:id="rId146" display="https://www.ifri.org/en/events"/>
    <hyperlink ref="D148" r:id="rId147" display="https://www.iiea.com/events"/>
    <hyperlink ref="D149" r:id="rId148" display="https://www.iiss.org/events/"/>
    <hyperlink ref="D150" r:id="rId149" display="https://iee.ulb.be/fr/agenda"/>
    <hyperlink ref="D151" r:id="rId150" display="https://www.i-com.it/en/events/"/>
    <hyperlink ref="D152" r:id="rId151" display="https://ieep.eu/events/"/>
    <hyperlink ref="D153" r:id="rId152" display="https://laweconcenter.org/events/"/>
    <hyperlink ref="D154" r:id="rId153" display="https://www.crisisgroup.org/how-we-work/events"/>
    <hyperlink ref="D155" r:id="rId154" display="https://institutdelors.eu/evenements/"/>
    <hyperlink ref="D156" r:id="rId155" display="https://ghum.kuleuven.be/ggs/events"/>
    <hyperlink ref="D157" r:id="rId156" display="https://lisboncouncil.net/"/>
    <hyperlink ref="D158" r:id="rId157" display="https://www.lse.ac.uk/events"/>
    <hyperlink ref="D159" r:id="rId158" display="https://brussels.mcc.hu/events"/>
    <hyperlink ref="D160" r:id="rId159" display="https://www.opensocietyfoundations.org/events"/>
    <hyperlink ref="D161" r:id="rId160" display="https://www.raponline.org/events/"/>
    <hyperlink ref="D162" r:id="rId161" display="https://www.bosch-stiftung.de/en/events"/>
    <hyperlink ref="D163" r:id="rId162" display="https://www.sitra.fi/en/events/"/>
    <hyperlink ref="D164" r:id="rId163" display="https://sbs-em.ulb.be/en/events"/>
    <hyperlink ref="D165" r:id="rId164" display="https://strategicperspectives.eu/"/>
    <hyperlink ref="D166" r:id="rId165" display="https://www.swp-berlin.org/en/swp/about-us/organization/swp-brussels/events-in-brussels"/>
    <hyperlink ref="D167" r:id="rId166" display="https://www.villavigoni.eu/"/>
    <hyperlink ref="D168" r:id="rId167" display="https://www.vlerick.com/en/events/"/>
    <hyperlink ref="D169" r:id="rId168" display="https://www.acea.auto/nav?content=events"/>
    <hyperlink ref="D170" r:id="rId169" display="https://www.aci-europe.org/events.html"/>
    <hyperlink ref="D171" r:id="rId170" display="https://aesgp.eu/events"/>
    <hyperlink ref="D172" r:id="rId171" display="https://www.afme.eu/events"/>
    <hyperlink ref="D173" r:id="rId172" display="https://www.juicesummit.org/"/>
    <hyperlink ref="D174" r:id="rId173" display="https://a4e.eu/events/"/>
    <hyperlink ref="D175" r:id="rId174" display="https://alliedforstartups.org/events/"/>
    <hyperlink ref="D176" r:id="rId175" display="https://www.amchameu.eu/events"/>
    <hyperlink ref="D177" r:id="rId176" display="https://www.amcham.be/events"/>
    <hyperlink ref="D178" r:id="rId177" display="https://animalhealtheurope.eu/events/"/>
    <hyperlink ref="D179" r:id="rId178" display="https://www.applia-europe.eu/news/event-reports"/>
    <hyperlink ref="D180" r:id="rId179" display="https://actonline.org/events/"/>
    <hyperlink ref="D181" r:id="rId180" display="https://bdi.eu/de/veranstaltungen"/>
    <hyperlink ref="D182" r:id="rId181" display="https://www.ccb-portugal.be/newsevents"/>
    <hyperlink ref="D183" r:id="rId182" display="https://www.ccitabel.com/en/event"/>
    <hyperlink ref="D184" r:id="rId183" display="https://bioenergyeurope.org/"/>
    <hyperlink ref="D185" r:id="rId184" display="https://www.britcham.eu/events"/>
    <hyperlink ref="D186" r:id="rId185" display="https://www.businesseurope.eu/events"/>
    <hyperlink ref="D187" r:id="rId186" display="https://www.canadaeurope.eu/events/"/>
    <hyperlink ref="D188" r:id="rId187" display="https://carbonmanagementeurope.org/events/"/>
    <hyperlink ref="D189" r:id="rId188" display="https://ccianet.org/events/"/>
    <hyperlink ref="D190" r:id="rId189" display="https://www.cecimo.eu/events/"/>
    <hyperlink ref="D191" r:id="rId190" display="https://cefic.org/events/"/>
    <hyperlink ref="D192" r:id="rId191" display="https://www.ceja.eu/"/>
    <hyperlink ref="D193" r:id="rId192" display="https://www.cementeurope.eu/events"/>
    <hyperlink ref="D194" r:id="rId193" display="https://www.cencenelec.eu/news-events/events/"/>
    <hyperlink ref="D195" r:id="rId194" display="https://www.cepi.org/events/"/>
    <hyperlink ref="D196" r:id="rId195" display="https://www.cer.be/events"/>
    <hyperlink ref="D197" r:id="rId196" display="https://clepa.eu/events/"/>
    <hyperlink ref="D198" r:id="rId197" display="https://www.cogeneurope.eu/events"/>
    <hyperlink ref="D199" r:id="rId198" display="https://www.confcommercio.it/"/>
    <hyperlink ref="D200" r:id="rId199" display="https://www.confindustria.it/eventi"/>
    <hyperlink ref="D201" r:id="rId200" display="https://connecteurope.org/events"/>
    <hyperlink ref="D202" r:id="rId201" display="https://coopseurope.coop/events/"/>
    <hyperlink ref="D203" r:id="rId202" display="https://copa-cogeca.eu/events"/>
    <hyperlink ref="D204" r:id="rId203" display="https://www.csreurope.org/events"/>
    <hyperlink ref="D205" r:id="rId204" display="https://www.cybersecuritycoalition.be/events/"/>
    <hyperlink ref="D206" r:id="rId205" display="https://www.digitalsme.eu/events/"/>
    <hyperlink ref="D207" r:id="rId206" display="https://www.digitaleurope.org/events/"/>
    <hyperlink ref="D208" r:id="rId207" display="https://doteurope.eu/"/>
    <hyperlink ref="D209" r:id="rId208" display="https://www.ebaa.org/events"/>
    <hyperlink ref="D210" r:id="rId209" display="https://ecsa.eu/ecsa-events/"/>
    <hyperlink ref="D211" r:id="rId210" display="https://www.digitalfinancesummit.com/"/>
    <hyperlink ref="D212" r:id="rId211" display="https://www.efama.org/events"/>
    <hyperlink ref="D213" r:id="rId212" display="https://www.efpia.eu/news-events/events/"/>
    <hyperlink ref="D214" r:id="rId213" display="https://www.egec.org/events/"/>
    <hyperlink ref="D215" r:id="rId214" display="https://ease-storage.eu/events/"/>
    <hyperlink ref="D216" r:id="rId215" display="https://www.epaca.org/"/>
    <hyperlink ref="D217" r:id="rId216" display="https://paymentinstitutions.eu/all-events/"/>
    <hyperlink ref="D218" r:id="rId217" display="https://eref-europe.org/events/category/events/"/>
    <hyperlink ref="D219" r:id="rId218" display="https://www.wsbi-esbg.org/events"/>
    <hyperlink ref="D220" r:id="rId219" display="https://etaf.tax/conferences/"/>
    <hyperlink ref="D221" r:id="rId220" display="https://www.etsi.org/events"/>
    <hyperlink ref="D222" r:id="rId221" display="https://www.eu-japan.eu/events"/>
    <hyperlink ref="D223" r:id="rId222" display="https://www.linkedin.com/company/euji/"/>
    <hyperlink ref="D224" r:id="rId223" display="https://www.eulatinbusinessforum.eu/events"/>
    <hyperlink ref="D225" r:id="rId224" display="https://euratex.eu/events/"/>
    <hyperlink ref="D226" r:id="rId225" display="https://www.eureau.org/"/>
    <hyperlink ref="D227" r:id="rId226" display="https://www.eurec.be/events/"/>
    <hyperlink ref="D228" r:id="rId227" display="https://www.eurelectric.org/events/"/>
    <hyperlink ref="D229" r:id="rId228" display="https://www.eurochambres.eu/events/"/>
    <hyperlink ref="D230" r:id="rId229" display="https://www.eurocommerce.eu/events/"/>
    <hyperlink ref="D231" r:id="rId230" display="https://www.eurofer.eu/events/"/>
    <hyperlink ref="D232" r:id="rId231" display="https://www.eurogas.org/events/"/>
    <hyperlink ref="D233" r:id="rId232" display="https://www.euroheat.org/events"/>
    <hyperlink ref="D234" r:id="rId233" display="https://eurometaux.eu/events/"/>
    <hyperlink ref="D235" r:id="rId234" display="https://euromines.org/events"/>
    <hyperlink ref="D236" r:id="rId235" display="https://www.europabio.org/events/"/>
    <hyperlink ref="D237" r:id="rId236" display="https://european-aluminium.eu/resource-hub/news-events/"/>
    <hyperlink ref="D238" r:id="rId237" display="https://uroweb.org/education-events/events"/>
    <hyperlink ref="D239" r:id="rId238" display="https://www.ebf.eu/events/"/>
    <hyperlink ref="D240" r:id="rId239" display="https://www.europeanbiogas.eu/events/"/>
    <hyperlink ref="D241" r:id="rId240" display="https://www.european-entrepreneurs.org/events"/>
    <hyperlink ref="D242" r:id="rId241" display="https://europeanjusticeforum.org/events/"/>
    <hyperlink ref="D243" r:id="rId242" display="https://europeanlandowners.org/events"/>
    <hyperlink ref="D244" r:id="rId243" display="https://ert.eu/"/>
    <hyperlink ref="D245" r:id="rId244" display="https://eustafor.eu/"/>
    <hyperlink ref="D246" r:id="rId245" display="https://fair-standards.org/"/>
    <hyperlink ref="D247" r:id="rId246" display="https://fead.be/events/"/>
    <hyperlink ref="D248" r:id="rId247" display="https://febea.org/"/>
    <hyperlink ref="D249" r:id="rId248" display="https://fefac.eu/newsroom/events/"/>
    <hyperlink ref="D250" r:id="rId249" display="https://www.fertilizerseurope.com/events/"/>
    <hyperlink ref="D251" r:id="rId250" display="https://www.fese.eu/events/"/>
    <hyperlink ref="D252" r:id="rId251" display="https://www.fiaregion1.com/events/"/>
    <hyperlink ref="D253" r:id="rId252" display="https://www.figiefa.eu/en/events.html"/>
    <hyperlink ref="D254" r:id="rId253" display="https://www.fooddrinkeurope.eu/events/"/>
    <hyperlink ref="D255" r:id="rId254" display="https://www.fuelseurope.eu/events"/>
    <hyperlink ref="D256" r:id="rId255" display="https://gbbc.io/events"/>
    <hyperlink ref="D257" r:id="rId256" display="https://www.gdv.de/gdv-en"/>
    <hyperlink ref="D258" r:id="rId257" display="https://www.geode-eu.org/events/"/>
    <hyperlink ref="D259" r:id="rId258" display="https://globalplatform.org/events/"/>
    <hyperlink ref="D260" r:id="rId259" display="https://www.gsma.com/events/"/>
    <hyperlink ref="D261" r:id="rId260" display="https://hydrogeneurope.eu/events/"/>
    <hyperlink ref="D262" r:id="rId261" display="https://iabeurope.eu/events/"/>
    <hyperlink ref="D263" r:id="rId262" display="https://www.iata.org/en/events/"/>
    <hyperlink ref="D264" r:id="rId263" display="https://www.ifieceurope.org/"/>
    <hyperlink ref="D265" r:id="rId264" display="https://www.independentretaileurope.eu/"/>
    <hyperlink ref="D266" r:id="rId265" display="https://www.insuranceeurope.eu/events"/>
    <hyperlink ref="D267" r:id="rId266" display="https://iogpeurope.org/events/"/>
    <hyperlink ref="D268" r:id="rId267" display="https://ipeurope.org/events/"/>
    <hyperlink ref="D269" r:id="rId268" display="https://www.iru.org/events"/>
    <hyperlink ref="D270" r:id="rId269" display="https://www.chimicaverdelombardia.it/"/>
    <hyperlink ref="D271" r:id="rId270" display="https://www.medef.com/"/>
    <hyperlink ref="D272" r:id="rId271" display="https://www.medicinesforeurope.com/events/"/>
    <hyperlink ref="D273" r:id="rId272" display="https://www.medtecheurope.org/news-and-events/events/"/>
    <hyperlink ref="D274" r:id="rId273" display="https://www.nbn.be/nieuws/kalender"/>
    <hyperlink ref="D275" r:id="rId274" display="https://orgalim.eu/events"/>
    <hyperlink ref="D276" r:id="rId275" display="https://www.pensionseurope.eu/events"/>
    <hyperlink ref="D277" r:id="rId276" display="https://plasticseurope.org/events/"/>
    <hyperlink ref="D278" r:id="rId277" display="https://pac.org/events"/>
    <hyperlink ref="D279" r:id="rId278" display="https://renewableh2.eu/"/>
    <hyperlink ref="D280" r:id="rId279" display="https://sea-lng.org/"/>
    <hyperlink ref="D281" r:id="rId280" display="https://seap.be/events/"/>
    <hyperlink ref="D282" r:id="rId281" display="https://smarten.eu/events/"/>
    <hyperlink ref="D283" r:id="rId282" display="https://www.smeconnect.eu/events"/>
    <hyperlink ref="D284" r:id="rId283" display="https://www.smeeurope.eu/events/"/>
    <hyperlink ref="D285" r:id="rId284" display="https://www.smeunited.eu/events"/>
    <hyperlink ref="D286" r:id="rId285" display="https://solarheateurope.eu/events/"/>
    <hyperlink ref="D287" r:id="rId286" display="https://www.solarpowereurope.org/events"/>
    <hyperlink ref="D288" r:id="rId287" display="https://www.norrsken.org/"/>
    <hyperlink ref="D289" r:id="rId288" display="https://www.unife.org/events/"/>
    <hyperlink ref="D290" r:id="rId289" display="https://www.vaccineseurope.eu/media-hub/events/"/>
    <hyperlink ref="D291" r:id="rId290" display="https://watereurope.eu/events/"/>
    <hyperlink ref="D292" r:id="rId291" display="https://windeurope.org/events/"/>
    <hyperlink ref="D293" r:id="rId292" display="https://www.accessnow.org/events/"/>
    <hyperlink ref="D294" r:id="rId293" display="https://www.age-platform.eu/events/"/>
    <hyperlink ref="D295" r:id="rId294" display="https://www.all-can.org/news/"/>
    <hyperlink ref="D296" r:id="rId295" display="https://www.amnesty.eu/"/>
    <hyperlink ref="D297" r:id="rId296" display="https://anec.eu/news-events/"/>
    <hyperlink ref="D298" r:id="rId297" display="https://eu.bellona.org/events/"/>
    <hyperlink ref="D299" r:id="rId298" display="https://betterfinance.eu/events/"/>
    <hyperlink ref="D300" r:id="rId299" display="https://www.beuc.eu/events"/>
    <hyperlink ref="D301" r:id="rId300" display="https://www.birdlife.org/europe-and-central-asia/"/>
    <hyperlink ref="D302" r:id="rId301" display="https://caneurope.org/events/"/>
    <hyperlink ref="D303" r:id="rId302" display="https://carbongap.org/"/>
    <hyperlink ref="D304" r:id="rId303" display="https://carbonmarketwatch.org/events/"/>
    <hyperlink ref="D305" r:id="rId304" display="https://civilsocietyeurope.eu/events/"/>
    <hyperlink ref="D306" r:id="rId305" display="https://www.cleanairfund.org/events/"/>
    <hyperlink ref="D307" r:id="rId306" display="https://www.clientearth.org/latest/events/"/>
    <hyperlink ref="D308" r:id="rId307" display="https://concordeurope.org/events/"/>
    <hyperlink ref="D309" r:id="rId308" display="https://coolheatingcoalition.eu/event"/>
    <hyperlink ref="D310" r:id="rId309" display="https://corporateeurope.org/en/events"/>
    <hyperlink ref="D311" r:id="rId310" display="https://www.eapn.eu/events/"/>
    <hyperlink ref="D312" r:id="rId311" display="https://ecostandard.org/news_events/"/>
    <hyperlink ref="D313" r:id="rId312" display="https://ecre.org/events/"/>
    <hyperlink ref="D314" r:id="rId313" display="https://edri.org/take-action/events/"/>
    <hyperlink ref="D315" r:id="rId314" display="https://www.enar-eu.org/events/"/>
    <hyperlink ref="D316" r:id="rId315" display="https://www.epsu.org/events"/>
    <hyperlink ref="D317" r:id="rId316" display="https://www.esn.org/"/>
    <hyperlink ref="D318" r:id="rId317" display="https://www.etuc.org/en/events"/>
    <hyperlink ref="D319" r:id="rId318" display="https://www.etui.org/events"/>
    <hyperlink ref="D320" r:id="rId319" display="https://eurochild.org/events/"/>
    <hyperlink ref="D321" r:id="rId320" display="https://www.euroconsumers.org/events"/>
    <hyperlink ref="D322" r:id="rId321" display="https://www.eurodad.org/"/>
    <hyperlink ref="D323" r:id="rId322" display="https://www.eurogroupforanimals.org/events"/>
    <hyperlink ref="D324" r:id="rId323" display="https://eurohealthnet.eu/events/"/>
    <hyperlink ref="D325" r:id="rId324" display="https://europeancancerforum.eu/"/>
    <hyperlink ref="D326" r:id="rId325" display="https://www.europeancancer.org/events"/>
    <hyperlink ref="D327" r:id="rId326" display="https://ecf.com/events"/>
    <hyperlink ref="D328" r:id="rId327" display="https://www.edf-feph.org/events/"/>
    <hyperlink ref="D329" r:id="rId328" display="https://eeb.org/events/"/>
    <hyperlink ref="D330" r:id="rId329" display="https://www.european-microfinance.org/events"/>
    <hyperlink ref="D331" r:id="rId330" display="https://europeanmovement.eu/events/"/>
    <hyperlink ref="D332" r:id="rId331" display="https://www.eu-patient.eu/events/"/>
    <hyperlink ref="D333" r:id="rId332" display="https://epha.org/events/"/>
    <hyperlink ref="D334" r:id="rId333" display="https://womenlobby.org/events-news/"/>
    <hyperlink ref="D335" r:id="rId334" display="https://www.youthforum.org/events"/>
    <hyperlink ref="D336" r:id="rId335" display="https://eyp.org/"/>
    <hyperlink ref="D337" r:id="rId336" display="https://www.eurordis.org/category/events/"/>
    <hyperlink ref="D338" r:id="rId337" display="https://www.eurofoodbank.org/events/"/>
    <hyperlink ref="D339" r:id="rId338" display="https://fidemocracy.org/"/>
    <hyperlink ref="D340" r:id="rId339" display="https://www.finance-watch.org/events/"/>
    <hyperlink ref="D341" r:id="rId340" display="https://finnova.eu/"/>
    <hyperlink ref="D342" r:id="rId341" display="https://friendsoftheearth.eu/"/>
    <hyperlink ref="D343" r:id="rId342" display="https://globalrightscompliance.org/events/"/>
    <hyperlink ref="D344" r:id="rId343" display="https://www.greenpeace.org/eu-unit/"/>
    <hyperlink ref="D345" r:id="rId344" display="https://www.gstc.org/events/upcoming-events/"/>
    <hyperlink ref="D346" r:id="rId345" display="https://www.housingeurope.eu/events"/>
    <hyperlink ref="D347" r:id="rId346" display="https://www.hrw.org/events"/>
    <hyperlink ref="D348" r:id="rId347" display="https://www.organicseurope.bio/events/"/>
    <hyperlink ref="D349" r:id="rId348" display="https://www.ilga-europe.org/annual-conference-2026/"/>
    <hyperlink ref="D350" r:id="rId349" display="https://agenda.industriall-europe.eu/calendar"/>
    <hyperlink ref="D351" r:id="rId350" display="https://www.liberties.eu/en"/>
    <hyperlink ref="D352" r:id="rId351" display="https://www.nef-europe.org/"/>
    <hyperlink ref="D353" r:id="rId352" display="https://www.one.org/"/>
    <hyperlink ref="D354" r:id="rId353" display="https://www.oxfam.org/en/europe"/>
    <hyperlink ref="D355" r:id="rId354" display="https://picum.org/events/"/>
    <hyperlink ref="D356" r:id="rId355" display="https://www.rescoop.eu/news-and-events/events"/>
    <hyperlink ref="D357" r:id="rId356" display="https://www.savethechildren.net/"/>
    <hyperlink ref="D358" r:id="rId357" display="https://seas-at-risk.org/events/"/>
    <hyperlink ref="D359" r:id="rId358" display="https://www.slowfood.com/events/"/>
    <hyperlink ref="D360" r:id="rId359" display="https://www.socialplatform.org/events/"/>
    <hyperlink ref="D361" r:id="rId360" display="https://thegoodlobby.eu/category/events/"/>
    <hyperlink ref="D362" r:id="rId361" display="https://transparency.eu/events/"/>
    <hyperlink ref="D363" r:id="rId362" display="https://www.transportenvironment.org/events"/>
    <hyperlink ref="D364" r:id="rId363" display="https://www.uni-europa.org/meetings/"/>
    <hyperlink ref="D365" r:id="rId364" display="https://federalists.eu/events/"/>
    <hyperlink ref="D366" r:id="rId365" display="https://www.wwf.eu/wwf_news/events/"/>
    <hyperlink ref="D367" r:id="rId366" display="https://jef.eu/events/"/>
    <hyperlink ref="D368" r:id="rId367" display="https://zerowasteeurope.eu/events/"/>
    <hyperlink ref="D369" r:id="rId368" display="https://www.bayern.de/staatskanzlei/bayerns-vertretung-bei-der-eu/"/>
    <hyperlink ref="D370" r:id="rId369" display="https://ccre-cemr.org/calendar"/>
    <hyperlink ref="D371" r:id="rId370" display="https://www.climatealliance.org/news-events/"/>
    <hyperlink ref="D372" r:id="rId371" display="https://cpmr.org/events/"/>
    <hyperlink ref="D373" r:id="rId372" display="https://exteriors.gencat.cat/en/ambits-dactuacio/afers-exteriors/delegacions-govern/ue/"/>
    <hyperlink ref="D374" r:id="rId373" display="https://endr.eu/"/>
    <hyperlink ref="D375" r:id="rId374" display="https://energy-cities.eu/events/"/>
    <hyperlink ref="D376" r:id="rId375" display="https://www.eurashe.eu/events/"/>
    <hyperlink ref="D377" r:id="rId376" display="https://eurocities.eu/events/"/>
    <hyperlink ref="D378" r:id="rId377" display="https://www.esn-eu.org/events"/>
    <hyperlink ref="D379" r:id="rId378" display="https://www.vlaanderen.be/en/authorities/flanders-and-the-eu"/>
    <hyperlink ref="D380" r:id="rId379" display="https://staatskanzlei.hessen.de/"/>
    <hyperlink ref="D381" r:id="rId380" display="https://iclei-europe.org/events/"/>
    <hyperlink ref="D382" r:id="rId381" display="https://ue.delegfrance.org/"/>
    <hyperlink ref="D383" r:id="rId382" display="https://bruessel-eu.diplo.de/"/>
    <hyperlink ref="D384" r:id="rId383" display="https://www.ireland.ie/en/eu/brussels/"/>
    <hyperlink ref="D385" r:id="rId384" display="https://italiaue.esteri.it/"/>
    <hyperlink ref="D386" r:id="rId385" display="https://www.gov.pl/web/eu"/>
    <hyperlink ref="D387" r:id="rId386" display="https://www.netherlandsandyou.nl/web/pr-eu-brussels"/>
    <hyperlink ref="D388" r:id="rId387" display="https://www.southsweden.eu/"/>
    <hyperlink ref="D389" r:id="rId388" display="https://stm.baden-wuerttemberg.de/de/ministerium/landesvertretung-bruessel/"/>
    <hyperlink ref="D390" r:id="rId389" display="https://www.land.nrw/landesvertretung-bruessel"/>
    <hyperlink ref="D391" r:id="rId390" display="https://www.scotlandhouse.eu/"/>
    <hyperlink ref="D392" r:id="rId391" display="https://www.socialeconomy.eu.org/events/"/>
    <hyperlink ref="D393" r:id="rId392" display="https://www.booking.com/"/>
    <hyperlink ref="D394" r:id="rId393" display="https://www.carbontrust.com/news-and-insights/events"/>
    <hyperlink ref="D395" r:id="rId394" display="https://www.edenred.be/"/>
    <hyperlink ref="D396" r:id="rId395" display="https://eunomia.eco/events/"/>
    <hyperlink ref="D397" r:id="rId396" display="https://rsvp.withgoogle.com/"/>
    <hyperlink ref="D398" r:id="rId397" display="https://www.theheinekencompany.com/"/>
    <hyperlink ref="D399" r:id="rId398" display="https://www.incisivehealth.com/"/>
    <hyperlink ref="D400" r:id="rId399" display="https://about.fb.com/europe/"/>
    <hyperlink ref="D401" r:id="rId400" display="https://blogs.microsoft.com/eupolicy/microsoft-center-brussels/"/>
    <hyperlink ref="D402" r:id="rId401" display="https://www.moylancommunications.com/"/>
    <hyperlink ref="D403" r:id="rId402" display="https://www.partisan.be/"/>
    <hyperlink ref="D404" r:id="rId403" display="https://www.pepsico.com/"/>
    <hyperlink ref="D405" r:id="rId404" display="https://pexapark.com/events/"/>
    <hyperlink ref="D406" r:id="rId405" display="https://www.publyon.com/"/>
    <hyperlink ref="D407" r:id="rId406" display="https://agenceurope.eu/en/calendar-extra.html"/>
    <hyperlink ref="D408" r:id="rId407" display="https://brusselsclimateweek.com/events/"/>
    <hyperlink ref="D409" r:id="rId408" display="https://www.pressclub.be/events/"/>
    <hyperlink ref="D410" r:id="rId409" display="https://event.brusselstimes.com/events-listing/"/>
    <hyperlink ref="D411" r:id="rId410" display="https://www.concurrences.com/en/events/"/>
    <hyperlink ref="D412" r:id="rId411" display="https://epfsf.org/events/"/>
    <hyperlink ref="D413" r:id="rId412" display="https://euobserver.com/topic/agenda/"/>
    <hyperlink ref="D414" r:id="rId413" display="https://events.euractiv.com/"/>
    <hyperlink ref="D415" r:id="rId414" display="https://events.euronews.com/events"/>
    <hyperlink ref="D416" r:id="rId415" display="https://ebsummits.eu/"/>
    <hyperlink ref="D417" r:id="rId416" display="https://defencesecurityconference.eu/"/>
    <hyperlink ref="D418" r:id="rId417" display="https://www.europeanenergyforum.eu/"/>
    <hyperlink ref="D419" r:id="rId418" display="https://www.europeanfoodforum.eu/event-list"/>
    <hyperlink ref="D420" r:id="rId419" display="https://www.internetforum.eu/events/events.html"/>
    <hyperlink ref="D421" r:id="rId420" display="https://www.europarl.europa.eu/meps/en/about/groupings"/>
    <hyperlink ref="D422" r:id="rId421" display="https://events.ft.com/events-list"/>
    <hyperlink ref="D423" r:id="rId422" display="https://forum-europe.com/events"/>
    <hyperlink ref="D424" r:id="rId423" display="https://forumforag.com/events"/>
    <hyperlink ref="D425" r:id="rId424" display="https://buscardini.eu/events/"/>
    <hyperlink ref="D426" r:id="rId425" display="https://health.ec.europa.eu/eu-health-policy/interest-groups/eu-health-policy-platform_en"/>
    <hyperlink ref="D427" r:id="rId426" display="https://www.kangaroogroup.eu/"/>
    <hyperlink ref="D428" r:id="rId427" display="https://www.lexxion.eu/en/events/"/>
    <hyperlink ref="D429" r:id="rId428" display="https://www.politico.eu/politico-events/"/>
    <hyperlink ref="D430" r:id="rId429" display="https://www.pubaffairsbruxelles.eu/event/"/>
    <hyperlink ref="D431" r:id="rId430" display="https://www.public-affairs-summit.eu/"/>
    <hyperlink ref="D432" r:id="rId431" display="https://www.residencepalace.be/"/>
    <hyperlink ref="D433" r:id="rId432" display="https://sciencebusiness.net/events"/>
    <hyperlink ref="D434" r:id="rId433" display="https://brussels.sustainableitdays.org/"/>
    <hyperlink ref="D435" r:id="rId434" display="https://events.theparliamentmagazine.eu/"/>
    <hyperlink ref="D436" r:id="rId435" display="https://agenda.rapporteur.com/"/>
    <hyperlink ref="D437" r:id="rId436" display="https://luma.com/discover"/>
    <hyperlink ref="D438" r:id="rId437" display="https://luma.com/discover"/>
    <hyperlink ref="D439" r:id="rId438" display="https://brusselssustainabilityclub.eu/"/>
    <hyperlink ref="D440" r:id="rId439" display="https://empower-eu.org/"/>
    <hyperlink ref="D441" r:id="rId440" display="https://www.linkedin.com/company/eu-u/"/>
    <hyperlink ref="D442" r:id="rId441" display="https://www.unya.be/"/>
    <hyperlink ref="D443" r:id="rId442" display="https://wiisbrussels.org/"/>
    <hyperlink ref="D444" r:id="rId443" display="https://www.yatabelgium.org/"/>
    <hyperlink ref="D445" r:id="rId444" display="https://youngeuropeanleadership.eu/"/>
    <hyperlink ref="D446" r:id="rId445" display="https://www.eurocontrol.int/events"/>
    <hyperlink ref="D447" r:id="rId446" display="https://eurohealthobservatory.who.int/about-us/events"/>
    <hyperlink ref="D448" r:id="rId447" display="https://www.esa.int/"/>
    <hyperlink ref="D449" r:id="rId448" location="sort=%40imfdate%20descending" display="https://www.imf.org/en/News/SearchNews#sort=%40imfdate%20descending"/>
    <hyperlink ref="D450" r:id="rId449" display="https://iucn.org/events"/>
    <hyperlink ref="D451" r:id="rId450" display="https://www.nato.int/en/news-and-events/events"/>
    <hyperlink ref="D452" r:id="rId451" display="https://www.oecd-events.org/en/events"/>
    <hyperlink ref="D453" r:id="rId452" display="https://unric.org/en/"/>
    <hyperlink ref="D454" r:id="rId453" display="https://www.unesco.org/en/fieldoffice/brussels"/>
    <hyperlink ref="D455" r:id="rId454" display="https://www.who.int/europe/news-room/events"/>
    <hyperlink ref="D456" r:id="rId455" display="https://www.worldbank.org/en/events"/>
    <hyperlink ref="D457" r:id="rId456" display="https://blueadapt.eu/"/>
    <hyperlink ref="D458" r:id="rId457" display="https://www.carina-project.eu/events"/>
    <hyperlink ref="D459" r:id="rId458" display="https://www.circularinvest.eu/"/>
    <hyperlink ref="D460" r:id="rId459" display="https://www.horizoncodecs.eu/events/"/>
    <hyperlink ref="D461" r:id="rId460" display="https://cultivate-project.eu/events/"/>
    <hyperlink ref="D462" r:id="rId461" display="https://digital4sustainability.eu/news-events/"/>
    <hyperlink ref="D463" r:id="rId462" display="https://feasts-project.eu/"/>
    <hyperlink ref="D464" r:id="rId463" display="https://www.gigagreen-project.eu/"/>
    <hyperlink ref="D465" r:id="rId464" display="https://www.impac3tip.eu/events"/>
    <hyperlink ref="D466" r:id="rId465" display="https://interreg-maritime.eu/"/>
    <hyperlink ref="D467" r:id="rId466" display="https://justreno.eu/"/>
    <hyperlink ref="D468" r:id="rId467" display="https://landsealot.eu/upcoming-past-events/"/>
    <hyperlink ref="D469" r:id="rId468" display="https://eurohealthnet.eu/events/"/>
    <hyperlink ref="D470" r:id="rId469" display="https://commons.ngi.eu/events/"/>
    <hyperlink ref="D471" r:id="rId470" display="https://ocean-ice.eu/events/"/>
    <hyperlink ref="D472" r:id="rId471" display="https://pink-project.eu/pink-meetings-events/pink-public-events/"/>
    <hyperlink ref="D473" r:id="rId472" display="https://trans4num.eu/"/>
    <hyperlink ref="D474" r:id="rId473" display="https://urbanbynature.eu/event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74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2026-10-29T08:27:42Z</dcterms:created>
  <dc:creator>openpyxl</dc:creator>
  <dc:description/>
  <dc:language>en-US</dc:language>
  <cp:lastModifiedBy/>
  <dcterms:modified xsi:type="dcterms:W3CDTF">2026-10-29T08:27:42Z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